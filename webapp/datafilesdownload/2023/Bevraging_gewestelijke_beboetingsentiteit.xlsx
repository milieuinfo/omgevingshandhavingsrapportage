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mfa\Desktop\"/>
    </mc:Choice>
  </mc:AlternateContent>
  <xr:revisionPtr revIDLastSave="0" documentId="13_ncr:1_{7B87766C-A1DC-420B-B644-4BC5EB4A160D}" xr6:coauthVersionLast="47" xr6:coauthVersionMax="47" xr10:uidLastSave="{00000000-0000-0000-0000-000000000000}"/>
  <bookViews>
    <workbookView xWindow="-28920" yWindow="-75" windowWidth="29040" windowHeight="15720" xr2:uid="{0F78F4CE-8E2B-4A61-8EE7-96B47B3919C3}"/>
  </bookViews>
  <sheets>
    <sheet name="Blad 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" l="1"/>
  <c r="E10" i="1"/>
  <c r="D138" i="1"/>
  <c r="E138" i="1"/>
  <c r="D131" i="1"/>
  <c r="E131" i="1"/>
  <c r="D124" i="1"/>
  <c r="E124" i="1"/>
  <c r="D117" i="1"/>
  <c r="E117" i="1"/>
  <c r="D110" i="1"/>
  <c r="E110" i="1"/>
  <c r="D104" i="1"/>
  <c r="E104" i="1"/>
  <c r="D101" i="1"/>
  <c r="E101" i="1"/>
  <c r="C138" i="1"/>
  <c r="C131" i="1"/>
  <c r="C124" i="1"/>
  <c r="C117" i="1"/>
  <c r="C110" i="1"/>
  <c r="C104" i="1"/>
  <c r="E94" i="1"/>
  <c r="C101" i="1"/>
  <c r="D87" i="1"/>
  <c r="C87" i="1"/>
  <c r="D80" i="1"/>
  <c r="E80" i="1"/>
  <c r="C80" i="1"/>
  <c r="E24" i="1"/>
  <c r="D68" i="1"/>
  <c r="E68" i="1"/>
  <c r="C68" i="1"/>
  <c r="D61" i="1"/>
  <c r="E61" i="1"/>
  <c r="C61" i="1"/>
  <c r="D54" i="1"/>
  <c r="E54" i="1"/>
  <c r="C54" i="1"/>
  <c r="D47" i="1"/>
  <c r="E47" i="1"/>
  <c r="C47" i="1"/>
  <c r="D40" i="1"/>
  <c r="E40" i="1"/>
  <c r="C40" i="1"/>
  <c r="D34" i="1"/>
  <c r="E34" i="1"/>
  <c r="C34" i="1"/>
  <c r="D31" i="1"/>
  <c r="E31" i="1"/>
  <c r="C31" i="1"/>
  <c r="D17" i="1"/>
  <c r="E17" i="1"/>
  <c r="C17" i="1"/>
  <c r="D10" i="1"/>
  <c r="C10" i="1"/>
</calcChain>
</file>

<file path=xl/sharedStrings.xml><?xml version="1.0" encoding="utf-8"?>
<sst xmlns="http://schemas.openxmlformats.org/spreadsheetml/2006/main" count="132" uniqueCount="36">
  <si>
    <t>Processen-verbaal van de parketten ontvangen door de gewestelijke beboetingsentiteit van het Vlaamse Gewest in 2023 inzake</t>
  </si>
  <si>
    <t>Aantal behandelde processen-verbaal in 2023 inzake</t>
  </si>
  <si>
    <r>
      <t xml:space="preserve">Bovenstaande behandelde processen-verbaal hebben in 2023 geleid tot beslissingen </t>
    </r>
    <r>
      <rPr>
        <b/>
        <sz val="11.5"/>
        <color theme="1"/>
        <rFont val="CIDFont+F1"/>
      </rPr>
      <t>technische</t>
    </r>
    <r>
      <rPr>
        <b/>
        <sz val="11"/>
        <color theme="1"/>
        <rFont val="CIDFont+F1"/>
      </rPr>
      <t xml:space="preserve"> seponering inzake</t>
    </r>
  </si>
  <si>
    <r>
      <t xml:space="preserve">Bovenstaande behandelde processen-verbaal hebben in 2023 geleid tot beslissingen </t>
    </r>
    <r>
      <rPr>
        <b/>
        <sz val="11.5"/>
        <color theme="1"/>
        <rFont val="CIDFont+F1"/>
      </rPr>
      <t>geen</t>
    </r>
    <r>
      <rPr>
        <b/>
        <sz val="11"/>
        <color theme="1"/>
        <rFont val="CIDFont+F1"/>
      </rPr>
      <t xml:space="preserve"> geldboete inzake</t>
    </r>
  </si>
  <si>
    <t>Bovenstaande behandelde processen-verbaal inzake ruimtelijke ordening hebben in 2023 geleid tot beslissingen opportuniteitssepot omwille van</t>
  </si>
  <si>
    <r>
      <t xml:space="preserve">Bovenstaande behandelde processen-verbaal inzake ruimtelijke ordening hebben in 2023 geleid tot beslissingen </t>
    </r>
    <r>
      <rPr>
        <b/>
        <sz val="11.5"/>
        <color theme="1"/>
        <rFont val="CIDFont+F1"/>
      </rPr>
      <t xml:space="preserve">technisch sepot </t>
    </r>
    <r>
      <rPr>
        <b/>
        <sz val="11"/>
        <color theme="1"/>
        <rFont val="CIDFont+F1"/>
      </rPr>
      <t>omwille van</t>
    </r>
  </si>
  <si>
    <r>
      <t xml:space="preserve">Bovenstaande behandelde processen-verbaal hebben in 2023 geleid tot </t>
    </r>
    <r>
      <rPr>
        <b/>
        <sz val="11.5"/>
        <color theme="1"/>
        <rFont val="CIDFont+F1"/>
      </rPr>
      <t xml:space="preserve">opgelegde bestuurlijke transacties </t>
    </r>
    <r>
      <rPr>
        <b/>
        <sz val="11"/>
        <color theme="1"/>
        <rFont val="CIDFont+F1"/>
      </rPr>
      <t>inzake</t>
    </r>
  </si>
  <si>
    <r>
      <t xml:space="preserve">Bovenstaande behandelde processen-verbaal hebben in 2023 geleid tot </t>
    </r>
    <r>
      <rPr>
        <b/>
        <sz val="11.5"/>
        <color theme="1"/>
        <rFont val="CIDFont+F1"/>
      </rPr>
      <t xml:space="preserve">betaalde bestuurlijke transacties </t>
    </r>
    <r>
      <rPr>
        <b/>
        <sz val="11"/>
        <color theme="1"/>
        <rFont val="CIDFont+F1"/>
      </rPr>
      <t>inzake</t>
    </r>
  </si>
  <si>
    <r>
      <t xml:space="preserve">Bovenstaande behandelde processen-verbaal hebben in 2023 geleid tot </t>
    </r>
    <r>
      <rPr>
        <b/>
        <sz val="11.5"/>
        <color theme="1"/>
        <rFont val="CIDFont+F1"/>
      </rPr>
      <t xml:space="preserve">geldboetes zonder voordeelontneming </t>
    </r>
    <r>
      <rPr>
        <b/>
        <sz val="11"/>
        <color theme="1"/>
        <rFont val="CIDFont+F1"/>
      </rPr>
      <t>inzake</t>
    </r>
  </si>
  <si>
    <r>
      <t xml:space="preserve">Bovenstaande behandelde processen-verbaal hebben in 2023 geleid tot </t>
    </r>
    <r>
      <rPr>
        <b/>
        <sz val="11.5"/>
        <color theme="1"/>
        <rFont val="CIDFont+F1"/>
      </rPr>
      <t xml:space="preserve">geldboetes met voordeelontneming </t>
    </r>
    <r>
      <rPr>
        <b/>
        <sz val="11"/>
        <color theme="1"/>
        <rFont val="CIDFont+F1"/>
      </rPr>
      <t>inzake</t>
    </r>
  </si>
  <si>
    <t>Afval</t>
  </si>
  <si>
    <t>Vergunningen</t>
  </si>
  <si>
    <t>Milieubeheer</t>
  </si>
  <si>
    <t>Emissies</t>
  </si>
  <si>
    <t>Mest</t>
  </si>
  <si>
    <t>RO</t>
  </si>
  <si>
    <t>Misdrijven</t>
  </si>
  <si>
    <t>Volledig geregulariseerd</t>
  </si>
  <si>
    <t>Geen handhavingsprioriteit</t>
  </si>
  <si>
    <t>Temporele werking</t>
  </si>
  <si>
    <t>Parket te laat</t>
  </si>
  <si>
    <t>Dader onbekend/Overleden/faillissement</t>
  </si>
  <si>
    <t>Geen misdrijf</t>
  </si>
  <si>
    <t>Onvoldoende vaststaand</t>
  </si>
  <si>
    <t>Verslagen van vaststelling ontvangen door de gewestelijke beboetingsentiteit van het Vlaamse Gewest in 2023 inzake</t>
  </si>
  <si>
    <t>Aantal behandelde verslagen van vaststelling in 2023 inzake</t>
  </si>
  <si>
    <r>
      <t xml:space="preserve">Bovenstaande behandelde verslagen van vaststelling hebben in 2023 geleid tot beslissingen </t>
    </r>
    <r>
      <rPr>
        <b/>
        <sz val="11.5"/>
        <color theme="1"/>
        <rFont val="CIDFont+F1"/>
      </rPr>
      <t xml:space="preserve">technische seponering </t>
    </r>
    <r>
      <rPr>
        <b/>
        <sz val="11"/>
        <color theme="1"/>
        <rFont val="CIDFont+F1"/>
      </rPr>
      <t>inzake</t>
    </r>
  </si>
  <si>
    <r>
      <t xml:space="preserve">Bovenstaande behandelde verslagen van vaststelling hebben in 2023 geleid tot beslissingen </t>
    </r>
    <r>
      <rPr>
        <b/>
        <sz val="11.5"/>
        <color theme="1"/>
        <rFont val="CIDFont+F1"/>
      </rPr>
      <t xml:space="preserve">geen geldboete </t>
    </r>
    <r>
      <rPr>
        <b/>
        <sz val="11"/>
        <color theme="1"/>
        <rFont val="CIDFont+F1"/>
      </rPr>
      <t>inzake</t>
    </r>
  </si>
  <si>
    <r>
      <t xml:space="preserve">Bovenstaande behandelde verslagen van vaststelling inzake ruimtelijke ordening hebben in 2023 geleid tot beslissingen </t>
    </r>
    <r>
      <rPr>
        <b/>
        <sz val="11.5"/>
        <color theme="1"/>
        <rFont val="CIDFont+F1"/>
      </rPr>
      <t xml:space="preserve">opportuniteitssepot </t>
    </r>
    <r>
      <rPr>
        <b/>
        <sz val="11"/>
        <color theme="1"/>
        <rFont val="CIDFont+F1"/>
      </rPr>
      <t>omwille van</t>
    </r>
  </si>
  <si>
    <r>
      <t xml:space="preserve">Bovenstaande behandelde verslagen van vaststelling inzake ruimtelijke ordening hebben in 2023 geleid tot beslissingen </t>
    </r>
    <r>
      <rPr>
        <b/>
        <sz val="11.5"/>
        <color theme="1"/>
        <rFont val="CIDFont+F1"/>
      </rPr>
      <t xml:space="preserve">technisch sepot </t>
    </r>
    <r>
      <rPr>
        <b/>
        <sz val="11"/>
        <color theme="1"/>
        <rFont val="CIDFont+F1"/>
      </rPr>
      <t>omwille van</t>
    </r>
  </si>
  <si>
    <r>
      <t xml:space="preserve">Bovenstaande behandelde verslagen van vaststelling hebben in 2023 geleid tot </t>
    </r>
    <r>
      <rPr>
        <b/>
        <sz val="11.5"/>
        <color theme="1"/>
        <rFont val="CIDFont+F1"/>
      </rPr>
      <t xml:space="preserve">opgelegde bestuurlijke transacties </t>
    </r>
    <r>
      <rPr>
        <b/>
        <sz val="11"/>
        <color theme="1"/>
        <rFont val="CIDFont+F1"/>
      </rPr>
      <t>inzake</t>
    </r>
  </si>
  <si>
    <r>
      <t xml:space="preserve">Bovenstaande behandelde verslagen van vaststelling hebben in 2023 geleid tot </t>
    </r>
    <r>
      <rPr>
        <b/>
        <sz val="11.5"/>
        <color theme="1"/>
        <rFont val="CIDFont+F1"/>
      </rPr>
      <t xml:space="preserve">betaalde bestuurlijke transacties </t>
    </r>
    <r>
      <rPr>
        <b/>
        <sz val="11"/>
        <color theme="1"/>
        <rFont val="CIDFont+F1"/>
      </rPr>
      <t>inzake</t>
    </r>
  </si>
  <si>
    <r>
      <t xml:space="preserve">Bovenstaande behandelde verslagen van vaststelling hebben in 2023 geleid tot </t>
    </r>
    <r>
      <rPr>
        <b/>
        <sz val="11.5"/>
        <color theme="1"/>
        <rFont val="CIDFont+F1"/>
      </rPr>
      <t xml:space="preserve">geldboetes zonder voordeelontneming </t>
    </r>
    <r>
      <rPr>
        <b/>
        <sz val="11"/>
        <color theme="1"/>
        <rFont val="CIDFont+F1"/>
      </rPr>
      <t>inzake</t>
    </r>
  </si>
  <si>
    <r>
      <t xml:space="preserve">Bovenstaande behandelde verslagen van vaststelling hebben in 2023 geleid tot </t>
    </r>
    <r>
      <rPr>
        <b/>
        <sz val="11.5"/>
        <color theme="1"/>
        <rFont val="CIDFont+F1"/>
      </rPr>
      <t xml:space="preserve">geldboetes met voordeelontneming </t>
    </r>
    <r>
      <rPr>
        <b/>
        <sz val="11"/>
        <color theme="1"/>
        <rFont val="CIDFont+F1"/>
      </rPr>
      <t>inzake</t>
    </r>
  </si>
  <si>
    <t>Volledig regulariseerd</t>
  </si>
  <si>
    <t>Inbreuken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</si>
</sst>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IDFont+F1"/>
    </font>
    <font>
      <b/>
      <sz val="11.5"/>
      <color theme="1"/>
      <name val="CIDFont+F1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3" borderId="0" xfId="0" applyFill="1"/>
    <xf numFmtId="0" fontId="1" fillId="2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DCB8-A140-47B7-87DC-C9964EA7537D}">
  <dimension ref="A1:E138"/>
  <sheetViews>
    <sheetView tabSelected="1" workbookViewId="0">
      <selection activeCell="H13" sqref="H13"/>
    </sheetView>
  </sheetViews>
  <sheetFormatPr defaultRowHeight="14.4"/>
  <cols>
    <col min="1" max="1" width="65.44140625" customWidth="1"/>
    <col min="2" max="2" width="25.109375" bestFit="1" customWidth="1"/>
    <col min="3" max="5" width="9.33203125" bestFit="1" customWidth="1"/>
  </cols>
  <sheetData>
    <row r="1" spans="1:5" ht="25.8">
      <c r="A1" s="4" t="s">
        <v>16</v>
      </c>
      <c r="C1" s="4">
        <v>2021</v>
      </c>
      <c r="D1" s="4">
        <v>2022</v>
      </c>
      <c r="E1" s="4">
        <v>2023</v>
      </c>
    </row>
    <row r="4" spans="1:5" ht="41.4">
      <c r="A4" s="1" t="s">
        <v>0</v>
      </c>
      <c r="B4" s="3" t="s">
        <v>10</v>
      </c>
      <c r="C4" s="3">
        <v>963</v>
      </c>
      <c r="D4" s="3">
        <v>771</v>
      </c>
      <c r="E4" s="3">
        <v>810</v>
      </c>
    </row>
    <row r="5" spans="1:5">
      <c r="A5" s="1"/>
      <c r="B5" s="3" t="s">
        <v>11</v>
      </c>
      <c r="C5" s="3">
        <v>372</v>
      </c>
      <c r="D5" s="3">
        <v>394</v>
      </c>
      <c r="E5" s="3">
        <v>435</v>
      </c>
    </row>
    <row r="6" spans="1:5">
      <c r="A6" s="1"/>
      <c r="B6" s="3" t="s">
        <v>12</v>
      </c>
      <c r="C6" s="3">
        <v>411</v>
      </c>
      <c r="D6" s="3">
        <v>334</v>
      </c>
      <c r="E6" s="3">
        <v>318</v>
      </c>
    </row>
    <row r="7" spans="1:5">
      <c r="A7" s="1"/>
      <c r="B7" s="3" t="s">
        <v>13</v>
      </c>
      <c r="C7" s="3">
        <v>503</v>
      </c>
      <c r="D7" s="3">
        <v>526</v>
      </c>
      <c r="E7" s="3">
        <v>616</v>
      </c>
    </row>
    <row r="8" spans="1:5">
      <c r="A8" s="1"/>
      <c r="B8" s="3" t="s">
        <v>14</v>
      </c>
      <c r="C8" s="3">
        <v>251</v>
      </c>
      <c r="D8" s="3">
        <v>300</v>
      </c>
      <c r="E8" s="3">
        <v>319</v>
      </c>
    </row>
    <row r="9" spans="1:5">
      <c r="A9" s="1"/>
      <c r="B9" s="3" t="s">
        <v>15</v>
      </c>
      <c r="C9" s="3">
        <v>636</v>
      </c>
      <c r="D9" s="3">
        <v>696</v>
      </c>
      <c r="E9" s="3">
        <v>723</v>
      </c>
    </row>
    <row r="10" spans="1:5">
      <c r="A10" s="6"/>
      <c r="B10" s="7"/>
      <c r="C10" s="11">
        <f>SUM(C4:C9)</f>
        <v>3136</v>
      </c>
      <c r="D10" s="11">
        <f t="shared" ref="D10" si="0">SUM(D4:D9)</f>
        <v>3021</v>
      </c>
      <c r="E10" s="11">
        <f>SUM(E4:E9)</f>
        <v>3221</v>
      </c>
    </row>
    <row r="11" spans="1:5">
      <c r="A11" s="12" t="s">
        <v>1</v>
      </c>
      <c r="B11" s="13" t="s">
        <v>10</v>
      </c>
      <c r="C11" s="13">
        <v>1329</v>
      </c>
      <c r="D11" s="13">
        <v>958</v>
      </c>
      <c r="E11" s="16">
        <v>984</v>
      </c>
    </row>
    <row r="12" spans="1:5">
      <c r="A12" s="12"/>
      <c r="B12" s="13" t="s">
        <v>11</v>
      </c>
      <c r="C12" s="13">
        <v>590</v>
      </c>
      <c r="D12" s="13">
        <v>420</v>
      </c>
      <c r="E12" s="16">
        <v>469</v>
      </c>
    </row>
    <row r="13" spans="1:5">
      <c r="A13" s="12"/>
      <c r="B13" s="13" t="s">
        <v>12</v>
      </c>
      <c r="C13" s="13">
        <v>574</v>
      </c>
      <c r="D13" s="13">
        <v>396</v>
      </c>
      <c r="E13" s="16">
        <v>391</v>
      </c>
    </row>
    <row r="14" spans="1:5">
      <c r="A14" s="12"/>
      <c r="B14" s="13" t="s">
        <v>13</v>
      </c>
      <c r="C14" s="13">
        <v>728</v>
      </c>
      <c r="D14" s="13">
        <v>555</v>
      </c>
      <c r="E14" s="16">
        <v>710</v>
      </c>
    </row>
    <row r="15" spans="1:5">
      <c r="A15" s="12"/>
      <c r="B15" s="13" t="s">
        <v>14</v>
      </c>
      <c r="C15" s="13">
        <v>321</v>
      </c>
      <c r="D15" s="13">
        <v>390</v>
      </c>
      <c r="E15" s="16">
        <v>385</v>
      </c>
    </row>
    <row r="16" spans="1:5">
      <c r="A16" s="12"/>
      <c r="B16" s="13" t="s">
        <v>15</v>
      </c>
      <c r="C16" s="13">
        <v>630</v>
      </c>
      <c r="D16" s="13">
        <v>1158</v>
      </c>
      <c r="E16" s="16">
        <v>1287</v>
      </c>
    </row>
    <row r="17" spans="1:5">
      <c r="A17" s="6"/>
      <c r="B17" s="7"/>
      <c r="C17" s="11">
        <f>SUM(C11:C16)</f>
        <v>4172</v>
      </c>
      <c r="D17" s="11">
        <f t="shared" ref="D17:E17" si="1">SUM(D11:D16)</f>
        <v>3877</v>
      </c>
      <c r="E17" s="11">
        <f t="shared" si="1"/>
        <v>4226</v>
      </c>
    </row>
    <row r="18" spans="1:5" ht="28.2">
      <c r="A18" s="1" t="s">
        <v>2</v>
      </c>
      <c r="B18" s="3" t="s">
        <v>10</v>
      </c>
      <c r="C18" s="3"/>
      <c r="D18" s="3"/>
      <c r="E18" s="3">
        <v>6</v>
      </c>
    </row>
    <row r="19" spans="1:5">
      <c r="A19" s="1"/>
      <c r="B19" s="3" t="s">
        <v>11</v>
      </c>
      <c r="C19" s="3"/>
      <c r="D19" s="3"/>
      <c r="E19" s="3">
        <v>9</v>
      </c>
    </row>
    <row r="20" spans="1:5">
      <c r="A20" s="1"/>
      <c r="B20" s="3" t="s">
        <v>12</v>
      </c>
      <c r="C20" s="3"/>
      <c r="D20" s="3"/>
      <c r="E20" s="3">
        <v>3</v>
      </c>
    </row>
    <row r="21" spans="1:5">
      <c r="A21" s="1"/>
      <c r="B21" s="3" t="s">
        <v>13</v>
      </c>
      <c r="C21" s="3"/>
      <c r="D21" s="3"/>
      <c r="E21" s="3">
        <v>83</v>
      </c>
    </row>
    <row r="22" spans="1:5">
      <c r="A22" s="1"/>
      <c r="B22" s="3" t="s">
        <v>14</v>
      </c>
      <c r="C22" s="3"/>
      <c r="D22" s="3"/>
      <c r="E22" s="3">
        <v>7</v>
      </c>
    </row>
    <row r="23" spans="1:5">
      <c r="A23" s="1"/>
      <c r="B23" s="3" t="s">
        <v>15</v>
      </c>
      <c r="C23" s="3"/>
      <c r="D23" s="3"/>
      <c r="E23" s="3">
        <v>135</v>
      </c>
    </row>
    <row r="24" spans="1:5">
      <c r="A24" s="6"/>
      <c r="B24" s="7"/>
      <c r="C24" s="7"/>
      <c r="D24" s="7"/>
      <c r="E24" s="11">
        <f>SUM(E18:E23)</f>
        <v>243</v>
      </c>
    </row>
    <row r="25" spans="1:5" ht="28.2">
      <c r="A25" s="1" t="s">
        <v>3</v>
      </c>
      <c r="B25" s="3" t="s">
        <v>10</v>
      </c>
      <c r="C25" s="3">
        <v>159</v>
      </c>
      <c r="D25" s="3">
        <v>191</v>
      </c>
      <c r="E25" s="3">
        <v>151</v>
      </c>
    </row>
    <row r="26" spans="1:5">
      <c r="A26" s="1"/>
      <c r="B26" s="3" t="s">
        <v>11</v>
      </c>
      <c r="C26" s="3">
        <v>62</v>
      </c>
      <c r="D26" s="3">
        <v>95</v>
      </c>
      <c r="E26" s="3">
        <v>40</v>
      </c>
    </row>
    <row r="27" spans="1:5">
      <c r="A27" s="1"/>
      <c r="B27" s="3" t="s">
        <v>12</v>
      </c>
      <c r="C27" s="3">
        <v>35</v>
      </c>
      <c r="D27" s="3">
        <v>33</v>
      </c>
      <c r="E27" s="3">
        <v>11</v>
      </c>
    </row>
    <row r="28" spans="1:5">
      <c r="A28" s="1"/>
      <c r="B28" s="3" t="s">
        <v>13</v>
      </c>
      <c r="C28" s="3">
        <v>49</v>
      </c>
      <c r="D28" s="3">
        <v>117</v>
      </c>
      <c r="E28" s="3">
        <v>16</v>
      </c>
    </row>
    <row r="29" spans="1:5">
      <c r="A29" s="1"/>
      <c r="B29" s="3" t="s">
        <v>14</v>
      </c>
      <c r="C29" s="3">
        <v>9</v>
      </c>
      <c r="D29" s="3">
        <v>20</v>
      </c>
      <c r="E29" s="3">
        <v>8</v>
      </c>
    </row>
    <row r="30" spans="1:5">
      <c r="A30" s="1"/>
      <c r="B30" s="3" t="s">
        <v>15</v>
      </c>
      <c r="C30" s="3">
        <v>16</v>
      </c>
      <c r="D30" s="3">
        <v>27</v>
      </c>
      <c r="E30" s="3">
        <v>14</v>
      </c>
    </row>
    <row r="31" spans="1:5">
      <c r="A31" s="6"/>
      <c r="B31" s="7"/>
      <c r="C31" s="11">
        <f>SUM(C25:C30)</f>
        <v>330</v>
      </c>
      <c r="D31" s="11">
        <f t="shared" ref="D31:E31" si="2">SUM(D25:D30)</f>
        <v>483</v>
      </c>
      <c r="E31" s="11">
        <f t="shared" si="2"/>
        <v>240</v>
      </c>
    </row>
    <row r="32" spans="1:5" ht="41.4">
      <c r="A32" s="2" t="s">
        <v>4</v>
      </c>
      <c r="B32" s="5" t="s">
        <v>17</v>
      </c>
      <c r="C32" s="3">
        <v>109</v>
      </c>
      <c r="D32" s="3">
        <v>291</v>
      </c>
      <c r="E32" s="3">
        <v>242</v>
      </c>
    </row>
    <row r="33" spans="1:5">
      <c r="A33" s="2"/>
      <c r="B33" s="5" t="s">
        <v>18</v>
      </c>
      <c r="C33" s="3">
        <v>56</v>
      </c>
      <c r="D33" s="3">
        <v>131</v>
      </c>
      <c r="E33" s="3">
        <v>115</v>
      </c>
    </row>
    <row r="34" spans="1:5">
      <c r="A34" s="8"/>
      <c r="B34" s="9"/>
      <c r="C34" s="11">
        <f>SUM(C32:C33)</f>
        <v>165</v>
      </c>
      <c r="D34" s="11">
        <f t="shared" ref="D34:E34" si="3">SUM(D32:D33)</f>
        <v>422</v>
      </c>
      <c r="E34" s="11">
        <f t="shared" si="3"/>
        <v>357</v>
      </c>
    </row>
    <row r="35" spans="1:5" ht="42.6">
      <c r="A35" s="1" t="s">
        <v>5</v>
      </c>
      <c r="B35" s="5" t="s">
        <v>19</v>
      </c>
      <c r="C35" s="3">
        <v>28</v>
      </c>
      <c r="D35" s="3">
        <v>44</v>
      </c>
      <c r="E35" s="3">
        <v>32</v>
      </c>
    </row>
    <row r="36" spans="1:5">
      <c r="A36" s="1"/>
      <c r="B36" s="5" t="s">
        <v>20</v>
      </c>
      <c r="C36" s="3">
        <v>9</v>
      </c>
      <c r="D36" s="3">
        <v>9</v>
      </c>
      <c r="E36" s="3">
        <v>11</v>
      </c>
    </row>
    <row r="37" spans="1:5" ht="43.2">
      <c r="A37" s="1"/>
      <c r="B37" s="5" t="s">
        <v>21</v>
      </c>
      <c r="C37" s="3">
        <v>2</v>
      </c>
      <c r="D37" s="3">
        <v>4</v>
      </c>
      <c r="E37" s="3">
        <v>1</v>
      </c>
    </row>
    <row r="38" spans="1:5">
      <c r="A38" s="1"/>
      <c r="B38" s="5" t="s">
        <v>22</v>
      </c>
      <c r="C38" s="3">
        <v>14</v>
      </c>
      <c r="D38" s="3">
        <v>34</v>
      </c>
      <c r="E38" s="3">
        <v>25</v>
      </c>
    </row>
    <row r="39" spans="1:5">
      <c r="A39" s="1"/>
      <c r="B39" s="5" t="s">
        <v>23</v>
      </c>
      <c r="C39" s="3">
        <v>21</v>
      </c>
      <c r="D39" s="3">
        <v>111</v>
      </c>
      <c r="E39" s="3">
        <v>66</v>
      </c>
    </row>
    <row r="40" spans="1:5">
      <c r="A40" s="6"/>
      <c r="B40" s="9"/>
      <c r="C40" s="11">
        <f>SUM(C35:C39)</f>
        <v>74</v>
      </c>
      <c r="D40" s="11">
        <f t="shared" ref="D40:E40" si="4">SUM(D35:D39)</f>
        <v>202</v>
      </c>
      <c r="E40" s="11">
        <f t="shared" si="4"/>
        <v>135</v>
      </c>
    </row>
    <row r="41" spans="1:5" ht="28.2">
      <c r="A41" s="1" t="s">
        <v>6</v>
      </c>
      <c r="B41" s="3" t="s">
        <v>10</v>
      </c>
      <c r="C41" s="3">
        <v>653</v>
      </c>
      <c r="D41" s="3">
        <v>622</v>
      </c>
      <c r="E41" s="3">
        <v>666</v>
      </c>
    </row>
    <row r="42" spans="1:5">
      <c r="A42" s="1"/>
      <c r="B42" s="3" t="s">
        <v>11</v>
      </c>
      <c r="C42" s="3">
        <v>288</v>
      </c>
      <c r="D42" s="3">
        <v>281</v>
      </c>
      <c r="E42" s="3">
        <v>318</v>
      </c>
    </row>
    <row r="43" spans="1:5">
      <c r="A43" s="1"/>
      <c r="B43" s="3" t="s">
        <v>12</v>
      </c>
      <c r="C43" s="3">
        <v>370</v>
      </c>
      <c r="D43" s="3">
        <v>326</v>
      </c>
      <c r="E43" s="3">
        <v>335</v>
      </c>
    </row>
    <row r="44" spans="1:5">
      <c r="A44" s="1"/>
      <c r="B44" s="3" t="s">
        <v>13</v>
      </c>
      <c r="C44" s="3">
        <v>332</v>
      </c>
      <c r="D44" s="3">
        <v>346</v>
      </c>
      <c r="E44" s="3">
        <v>465</v>
      </c>
    </row>
    <row r="45" spans="1:5">
      <c r="A45" s="1"/>
      <c r="B45" s="3" t="s">
        <v>14</v>
      </c>
      <c r="C45" s="3">
        <v>244</v>
      </c>
      <c r="D45" s="3">
        <v>324</v>
      </c>
      <c r="E45" s="3">
        <v>320</v>
      </c>
    </row>
    <row r="46" spans="1:5">
      <c r="A46" s="1"/>
      <c r="B46" s="3" t="s">
        <v>15</v>
      </c>
      <c r="C46" s="3">
        <v>243</v>
      </c>
      <c r="D46" s="3">
        <v>542</v>
      </c>
      <c r="E46" s="3">
        <v>700</v>
      </c>
    </row>
    <row r="47" spans="1:5">
      <c r="A47" s="6"/>
      <c r="B47" s="7"/>
      <c r="C47" s="11">
        <f>SUM(C41:C46)</f>
        <v>2130</v>
      </c>
      <c r="D47" s="11">
        <f t="shared" ref="D47:E47" si="5">SUM(D41:D46)</f>
        <v>2441</v>
      </c>
      <c r="E47" s="11">
        <f t="shared" si="5"/>
        <v>2804</v>
      </c>
    </row>
    <row r="48" spans="1:5" ht="28.2">
      <c r="A48" s="1" t="s">
        <v>7</v>
      </c>
      <c r="B48" s="3" t="s">
        <v>10</v>
      </c>
      <c r="C48" s="3">
        <v>428</v>
      </c>
      <c r="D48" s="3">
        <v>401</v>
      </c>
      <c r="E48" s="3">
        <v>356</v>
      </c>
    </row>
    <row r="49" spans="1:5">
      <c r="A49" s="1"/>
      <c r="B49" s="3" t="s">
        <v>11</v>
      </c>
      <c r="C49" s="3">
        <v>178</v>
      </c>
      <c r="D49" s="3">
        <v>180</v>
      </c>
      <c r="E49" s="3">
        <v>171</v>
      </c>
    </row>
    <row r="50" spans="1:5">
      <c r="A50" s="1"/>
      <c r="B50" s="3" t="s">
        <v>12</v>
      </c>
      <c r="C50" s="3">
        <v>276</v>
      </c>
      <c r="D50" s="3">
        <v>263</v>
      </c>
      <c r="E50" s="3">
        <v>218</v>
      </c>
    </row>
    <row r="51" spans="1:5">
      <c r="A51" s="1"/>
      <c r="B51" s="3" t="s">
        <v>13</v>
      </c>
      <c r="C51" s="3">
        <v>251</v>
      </c>
      <c r="D51" s="3">
        <v>193</v>
      </c>
      <c r="E51" s="3">
        <v>286</v>
      </c>
    </row>
    <row r="52" spans="1:5">
      <c r="A52" s="1"/>
      <c r="B52" s="3" t="s">
        <v>14</v>
      </c>
      <c r="C52" s="3">
        <v>196</v>
      </c>
      <c r="D52" s="3">
        <v>254</v>
      </c>
      <c r="E52" s="3">
        <v>255</v>
      </c>
    </row>
    <row r="53" spans="1:5">
      <c r="A53" s="1"/>
      <c r="B53" s="3" t="s">
        <v>15</v>
      </c>
      <c r="C53" s="3">
        <v>121</v>
      </c>
      <c r="D53" s="3">
        <v>335</v>
      </c>
      <c r="E53" s="3">
        <v>304</v>
      </c>
    </row>
    <row r="54" spans="1:5">
      <c r="A54" s="6"/>
      <c r="B54" s="7"/>
      <c r="C54" s="11">
        <f>SUM(C48:C53)</f>
        <v>1450</v>
      </c>
      <c r="D54" s="11">
        <f t="shared" ref="D54:E54" si="6">SUM(D48:D53)</f>
        <v>1626</v>
      </c>
      <c r="E54" s="11">
        <f t="shared" si="6"/>
        <v>1590</v>
      </c>
    </row>
    <row r="55" spans="1:5" ht="28.2">
      <c r="A55" s="1" t="s">
        <v>8</v>
      </c>
      <c r="B55" s="3" t="s">
        <v>10</v>
      </c>
      <c r="C55" s="3">
        <v>590</v>
      </c>
      <c r="D55" s="3">
        <v>389</v>
      </c>
      <c r="E55" s="3">
        <v>518</v>
      </c>
    </row>
    <row r="56" spans="1:5">
      <c r="A56" s="1"/>
      <c r="B56" s="3" t="s">
        <v>11</v>
      </c>
      <c r="C56" s="3">
        <v>200</v>
      </c>
      <c r="D56" s="3">
        <v>102</v>
      </c>
      <c r="E56" s="3">
        <v>137</v>
      </c>
    </row>
    <row r="57" spans="1:5">
      <c r="A57" s="1"/>
      <c r="B57" s="3" t="s">
        <v>12</v>
      </c>
      <c r="C57" s="3">
        <v>172</v>
      </c>
      <c r="D57" s="3">
        <v>108</v>
      </c>
      <c r="E57" s="3">
        <v>136</v>
      </c>
    </row>
    <row r="58" spans="1:5">
      <c r="A58" s="1"/>
      <c r="B58" s="3" t="s">
        <v>13</v>
      </c>
      <c r="C58" s="3">
        <v>179</v>
      </c>
      <c r="D58" s="3">
        <v>165</v>
      </c>
      <c r="E58" s="3">
        <v>124</v>
      </c>
    </row>
    <row r="59" spans="1:5">
      <c r="A59" s="1"/>
      <c r="B59" s="3" t="s">
        <v>14</v>
      </c>
      <c r="C59" s="3">
        <v>72</v>
      </c>
      <c r="D59" s="3">
        <v>69</v>
      </c>
      <c r="E59" s="3">
        <v>43</v>
      </c>
    </row>
    <row r="60" spans="1:5">
      <c r="A60" s="1"/>
      <c r="B60" s="3" t="s">
        <v>15</v>
      </c>
      <c r="C60" s="3">
        <v>88</v>
      </c>
      <c r="D60" s="3">
        <v>133</v>
      </c>
      <c r="E60" s="3">
        <v>140</v>
      </c>
    </row>
    <row r="61" spans="1:5">
      <c r="A61" s="6"/>
      <c r="B61" s="7"/>
      <c r="C61" s="11">
        <f>SUM(C55:C60)</f>
        <v>1301</v>
      </c>
      <c r="D61" s="11">
        <f t="shared" ref="D61:E61" si="7">SUM(D55:D60)</f>
        <v>966</v>
      </c>
      <c r="E61" s="11">
        <f t="shared" si="7"/>
        <v>1098</v>
      </c>
    </row>
    <row r="62" spans="1:5" ht="28.2">
      <c r="A62" s="1" t="s">
        <v>9</v>
      </c>
      <c r="B62" s="3" t="s">
        <v>10</v>
      </c>
      <c r="C62" s="3">
        <v>2</v>
      </c>
      <c r="D62" s="3">
        <v>3</v>
      </c>
      <c r="E62" s="3">
        <v>1</v>
      </c>
    </row>
    <row r="63" spans="1:5">
      <c r="A63" s="3"/>
      <c r="B63" s="3" t="s">
        <v>11</v>
      </c>
      <c r="C63" s="3">
        <v>12</v>
      </c>
      <c r="D63" s="3">
        <v>0</v>
      </c>
      <c r="E63" s="3">
        <v>8</v>
      </c>
    </row>
    <row r="64" spans="1:5">
      <c r="A64" s="3"/>
      <c r="B64" s="3" t="s">
        <v>12</v>
      </c>
      <c r="C64" s="3">
        <v>5</v>
      </c>
      <c r="D64" s="3">
        <v>7</v>
      </c>
      <c r="E64" s="3">
        <v>0</v>
      </c>
    </row>
    <row r="65" spans="1:5">
      <c r="A65" s="3"/>
      <c r="B65" s="3" t="s">
        <v>13</v>
      </c>
      <c r="C65" s="3">
        <v>8</v>
      </c>
      <c r="D65" s="3">
        <v>7</v>
      </c>
      <c r="E65" s="3">
        <v>3</v>
      </c>
    </row>
    <row r="66" spans="1:5">
      <c r="A66" s="3"/>
      <c r="B66" s="3" t="s">
        <v>14</v>
      </c>
      <c r="C66" s="3">
        <v>0</v>
      </c>
      <c r="D66" s="3">
        <v>0</v>
      </c>
      <c r="E66" s="3">
        <v>0</v>
      </c>
    </row>
    <row r="67" spans="1:5">
      <c r="A67" s="3"/>
      <c r="B67" s="3" t="s">
        <v>15</v>
      </c>
      <c r="C67" s="3">
        <v>0</v>
      </c>
      <c r="D67" s="3">
        <v>0</v>
      </c>
      <c r="E67" s="3">
        <v>0</v>
      </c>
    </row>
    <row r="68" spans="1:5">
      <c r="A68" s="7"/>
      <c r="B68" s="7"/>
      <c r="C68" s="11">
        <f>SUM(C62:C67)</f>
        <v>27</v>
      </c>
      <c r="D68" s="11">
        <f t="shared" ref="D68:E68" si="8">SUM(D62:D67)</f>
        <v>17</v>
      </c>
      <c r="E68" s="11">
        <f t="shared" si="8"/>
        <v>12</v>
      </c>
    </row>
    <row r="69" spans="1:5">
      <c r="A69" s="10"/>
      <c r="B69" s="10"/>
      <c r="C69" s="10"/>
      <c r="D69" s="10"/>
      <c r="E69" s="10"/>
    </row>
    <row r="70" spans="1:5">
      <c r="A70" s="10"/>
      <c r="B70" s="10"/>
      <c r="C70" s="10"/>
      <c r="D70" s="10"/>
      <c r="E70" s="10"/>
    </row>
    <row r="71" spans="1:5" ht="25.8">
      <c r="A71" s="4" t="s">
        <v>35</v>
      </c>
      <c r="C71" s="4">
        <v>2021</v>
      </c>
      <c r="D71" s="4">
        <v>2022</v>
      </c>
      <c r="E71" s="4">
        <v>2023</v>
      </c>
    </row>
    <row r="72" spans="1:5" ht="11.4" customHeight="1">
      <c r="A72" s="4"/>
      <c r="C72" s="4"/>
      <c r="D72" s="4"/>
      <c r="E72" s="4"/>
    </row>
    <row r="73" spans="1:5" ht="11.4" customHeight="1">
      <c r="A73" s="4"/>
      <c r="C73" s="4"/>
      <c r="D73" s="4"/>
      <c r="E73" s="4"/>
    </row>
    <row r="74" spans="1:5" ht="27.6">
      <c r="A74" s="1" t="s">
        <v>24</v>
      </c>
      <c r="B74" s="3" t="s">
        <v>10</v>
      </c>
      <c r="C74" s="3">
        <v>32</v>
      </c>
      <c r="D74" s="3">
        <v>47</v>
      </c>
      <c r="E74" s="3">
        <v>0</v>
      </c>
    </row>
    <row r="75" spans="1:5">
      <c r="A75" s="1"/>
      <c r="B75" s="3" t="s">
        <v>11</v>
      </c>
      <c r="C75" s="3">
        <v>13</v>
      </c>
      <c r="D75" s="3">
        <v>3</v>
      </c>
      <c r="E75" s="3">
        <v>2</v>
      </c>
    </row>
    <row r="76" spans="1:5">
      <c r="A76" s="1"/>
      <c r="B76" s="3" t="s">
        <v>12</v>
      </c>
      <c r="C76" s="3">
        <v>638</v>
      </c>
      <c r="D76" s="3">
        <v>448</v>
      </c>
      <c r="E76" s="3">
        <v>436</v>
      </c>
    </row>
    <row r="77" spans="1:5">
      <c r="A77" s="1"/>
      <c r="B77" s="3" t="s">
        <v>13</v>
      </c>
      <c r="C77" s="3">
        <v>6</v>
      </c>
      <c r="D77" s="3">
        <v>7</v>
      </c>
      <c r="E77" s="3">
        <v>7</v>
      </c>
    </row>
    <row r="78" spans="1:5">
      <c r="A78" s="1"/>
      <c r="B78" s="3" t="s">
        <v>14</v>
      </c>
      <c r="C78" s="3">
        <v>0</v>
      </c>
      <c r="D78" s="3">
        <v>2</v>
      </c>
      <c r="E78" s="3">
        <v>1</v>
      </c>
    </row>
    <row r="79" spans="1:5">
      <c r="A79" s="1"/>
      <c r="B79" s="3" t="s">
        <v>15</v>
      </c>
      <c r="C79" s="3">
        <v>20</v>
      </c>
      <c r="D79" s="3">
        <v>20</v>
      </c>
      <c r="E79" s="3">
        <v>45</v>
      </c>
    </row>
    <row r="80" spans="1:5">
      <c r="A80" s="6"/>
      <c r="B80" s="7"/>
      <c r="C80" s="11">
        <f>SUM(C74:C79)</f>
        <v>709</v>
      </c>
      <c r="D80" s="11">
        <f t="shared" ref="D80:E80" si="9">SUM(D74:D79)</f>
        <v>527</v>
      </c>
      <c r="E80" s="11">
        <f t="shared" si="9"/>
        <v>491</v>
      </c>
    </row>
    <row r="81" spans="1:5">
      <c r="A81" s="12" t="s">
        <v>25</v>
      </c>
      <c r="B81" s="13" t="s">
        <v>10</v>
      </c>
      <c r="C81" s="13">
        <v>46</v>
      </c>
      <c r="D81" s="13">
        <v>50</v>
      </c>
      <c r="E81" s="14">
        <v>0</v>
      </c>
    </row>
    <row r="82" spans="1:5">
      <c r="A82" s="12"/>
      <c r="B82" s="13" t="s">
        <v>11</v>
      </c>
      <c r="C82" s="13">
        <v>17</v>
      </c>
      <c r="D82" s="13">
        <v>17</v>
      </c>
      <c r="E82" s="14">
        <v>3</v>
      </c>
    </row>
    <row r="83" spans="1:5">
      <c r="A83" s="12"/>
      <c r="B83" s="13" t="s">
        <v>12</v>
      </c>
      <c r="C83" s="13">
        <v>744</v>
      </c>
      <c r="D83" s="13">
        <v>472</v>
      </c>
      <c r="E83" s="14">
        <v>421</v>
      </c>
    </row>
    <row r="84" spans="1:5">
      <c r="A84" s="12"/>
      <c r="B84" s="13" t="s">
        <v>13</v>
      </c>
      <c r="C84" s="13">
        <v>10</v>
      </c>
      <c r="D84" s="13">
        <v>7</v>
      </c>
      <c r="E84" s="14">
        <v>7</v>
      </c>
    </row>
    <row r="85" spans="1:5">
      <c r="A85" s="12"/>
      <c r="B85" s="13" t="s">
        <v>14</v>
      </c>
      <c r="C85" s="13">
        <v>1</v>
      </c>
      <c r="D85" s="13">
        <v>3</v>
      </c>
      <c r="E85" s="14">
        <v>1</v>
      </c>
    </row>
    <row r="86" spans="1:5">
      <c r="A86" s="12"/>
      <c r="B86" s="13" t="s">
        <v>15</v>
      </c>
      <c r="C86" s="13">
        <v>28</v>
      </c>
      <c r="D86" s="13">
        <v>24</v>
      </c>
      <c r="E86" s="15">
        <v>39</v>
      </c>
    </row>
    <row r="87" spans="1:5">
      <c r="A87" s="6"/>
      <c r="B87" s="7"/>
      <c r="C87" s="11">
        <f>SUM(C81:C86)</f>
        <v>846</v>
      </c>
      <c r="D87" s="11">
        <f t="shared" ref="D87" si="10">SUM(D81:D86)</f>
        <v>573</v>
      </c>
      <c r="E87" s="11">
        <f>SUM(E81:E86)</f>
        <v>471</v>
      </c>
    </row>
    <row r="88" spans="1:5" ht="28.2">
      <c r="A88" s="1" t="s">
        <v>26</v>
      </c>
      <c r="B88" s="3" t="s">
        <v>10</v>
      </c>
      <c r="C88" s="3"/>
      <c r="D88" s="3"/>
      <c r="E88" s="3">
        <v>0</v>
      </c>
    </row>
    <row r="89" spans="1:5">
      <c r="A89" s="1"/>
      <c r="B89" s="3" t="s">
        <v>11</v>
      </c>
      <c r="C89" s="3"/>
      <c r="D89" s="3"/>
      <c r="E89" s="3">
        <v>0</v>
      </c>
    </row>
    <row r="90" spans="1:5">
      <c r="A90" s="1"/>
      <c r="B90" s="3" t="s">
        <v>12</v>
      </c>
      <c r="C90" s="3"/>
      <c r="D90" s="3"/>
      <c r="E90" s="3">
        <v>2</v>
      </c>
    </row>
    <row r="91" spans="1:5">
      <c r="A91" s="1"/>
      <c r="B91" s="3" t="s">
        <v>13</v>
      </c>
      <c r="C91" s="3"/>
      <c r="D91" s="3"/>
      <c r="E91" s="3">
        <v>0</v>
      </c>
    </row>
    <row r="92" spans="1:5">
      <c r="A92" s="1"/>
      <c r="B92" s="3" t="s">
        <v>14</v>
      </c>
      <c r="C92" s="3"/>
      <c r="D92" s="3"/>
      <c r="E92" s="3">
        <v>0</v>
      </c>
    </row>
    <row r="93" spans="1:5">
      <c r="A93" s="1"/>
      <c r="B93" s="3" t="s">
        <v>15</v>
      </c>
      <c r="C93" s="3"/>
      <c r="D93" s="3"/>
      <c r="E93" s="3">
        <v>5</v>
      </c>
    </row>
    <row r="94" spans="1:5">
      <c r="A94" s="6"/>
      <c r="B94" s="7"/>
      <c r="C94" s="7"/>
      <c r="D94" s="7"/>
      <c r="E94" s="7">
        <f>SUM(E88:E93)</f>
        <v>7</v>
      </c>
    </row>
    <row r="95" spans="1:5" ht="28.2">
      <c r="A95" s="1" t="s">
        <v>27</v>
      </c>
      <c r="B95" s="3" t="s">
        <v>10</v>
      </c>
      <c r="C95" s="3">
        <v>1</v>
      </c>
      <c r="D95" s="3">
        <v>4</v>
      </c>
      <c r="E95" s="3">
        <v>14</v>
      </c>
    </row>
    <row r="96" spans="1:5">
      <c r="A96" s="1"/>
      <c r="B96" s="3" t="s">
        <v>11</v>
      </c>
      <c r="C96" s="3">
        <v>1</v>
      </c>
      <c r="D96" s="3">
        <v>2</v>
      </c>
      <c r="E96" s="3">
        <v>1</v>
      </c>
    </row>
    <row r="97" spans="1:5">
      <c r="A97" s="1"/>
      <c r="B97" s="3" t="s">
        <v>12</v>
      </c>
      <c r="C97" s="3">
        <v>10</v>
      </c>
      <c r="D97" s="3">
        <v>4</v>
      </c>
      <c r="E97" s="3">
        <v>1</v>
      </c>
    </row>
    <row r="98" spans="1:5">
      <c r="A98" s="1"/>
      <c r="B98" s="3" t="s">
        <v>13</v>
      </c>
      <c r="C98" s="3">
        <v>1</v>
      </c>
      <c r="D98" s="3">
        <v>1</v>
      </c>
      <c r="E98" s="3">
        <v>0</v>
      </c>
    </row>
    <row r="99" spans="1:5">
      <c r="A99" s="1"/>
      <c r="B99" s="3" t="s">
        <v>14</v>
      </c>
      <c r="C99" s="3">
        <v>0</v>
      </c>
      <c r="D99" s="3">
        <v>1</v>
      </c>
      <c r="E99" s="3">
        <v>0</v>
      </c>
    </row>
    <row r="100" spans="1:5">
      <c r="A100" s="1"/>
      <c r="B100" s="3" t="s">
        <v>15</v>
      </c>
      <c r="C100" s="3">
        <v>2</v>
      </c>
      <c r="D100" s="3">
        <v>0</v>
      </c>
      <c r="E100" s="3">
        <v>2</v>
      </c>
    </row>
    <row r="101" spans="1:5">
      <c r="A101" s="6"/>
      <c r="B101" s="7"/>
      <c r="C101" s="7">
        <f>SUM(C95:C100)</f>
        <v>15</v>
      </c>
      <c r="D101" s="7">
        <f t="shared" ref="D101:E101" si="11">SUM(D95:D100)</f>
        <v>12</v>
      </c>
      <c r="E101" s="7">
        <f t="shared" si="11"/>
        <v>18</v>
      </c>
    </row>
    <row r="102" spans="1:5" ht="42">
      <c r="A102" s="1" t="s">
        <v>28</v>
      </c>
      <c r="B102" s="3" t="s">
        <v>34</v>
      </c>
      <c r="C102" s="3">
        <v>0</v>
      </c>
      <c r="D102" s="3">
        <v>0</v>
      </c>
      <c r="E102" s="3">
        <v>0</v>
      </c>
    </row>
    <row r="103" spans="1:5">
      <c r="A103" s="1"/>
      <c r="B103" s="3" t="s">
        <v>18</v>
      </c>
      <c r="C103" s="3">
        <v>1</v>
      </c>
      <c r="D103" s="3">
        <v>2</v>
      </c>
      <c r="E103" s="3">
        <v>14</v>
      </c>
    </row>
    <row r="104" spans="1:5">
      <c r="A104" s="6"/>
      <c r="B104" s="7"/>
      <c r="C104" s="7">
        <f>SUM(C102:C103)</f>
        <v>1</v>
      </c>
      <c r="D104" s="7">
        <f t="shared" ref="D104:E104" si="12">SUM(D102:D103)</f>
        <v>2</v>
      </c>
      <c r="E104" s="7">
        <f t="shared" si="12"/>
        <v>14</v>
      </c>
    </row>
    <row r="105" spans="1:5" ht="42">
      <c r="A105" s="1" t="s">
        <v>29</v>
      </c>
      <c r="B105" s="5" t="s">
        <v>19</v>
      </c>
      <c r="C105" s="3">
        <v>0</v>
      </c>
      <c r="D105" s="3">
        <v>0</v>
      </c>
      <c r="E105" s="3">
        <v>2</v>
      </c>
    </row>
    <row r="106" spans="1:5">
      <c r="A106" s="1"/>
      <c r="B106" s="5" t="s">
        <v>20</v>
      </c>
      <c r="C106" s="3">
        <v>0</v>
      </c>
      <c r="D106" s="3">
        <v>0</v>
      </c>
      <c r="E106" s="3">
        <v>0</v>
      </c>
    </row>
    <row r="107" spans="1:5" ht="43.2">
      <c r="A107" s="1"/>
      <c r="B107" s="5" t="s">
        <v>21</v>
      </c>
      <c r="C107" s="3">
        <v>0</v>
      </c>
      <c r="D107" s="3">
        <v>1</v>
      </c>
      <c r="E107" s="3">
        <v>0</v>
      </c>
    </row>
    <row r="108" spans="1:5">
      <c r="A108" s="1"/>
      <c r="B108" s="5" t="s">
        <v>22</v>
      </c>
      <c r="C108" s="3">
        <v>2</v>
      </c>
      <c r="D108" s="3">
        <v>4</v>
      </c>
      <c r="E108" s="3">
        <v>0</v>
      </c>
    </row>
    <row r="109" spans="1:5">
      <c r="A109" s="1"/>
      <c r="B109" s="5" t="s">
        <v>23</v>
      </c>
      <c r="C109" s="3">
        <v>0</v>
      </c>
      <c r="D109" s="3">
        <v>0</v>
      </c>
      <c r="E109" s="3">
        <v>3</v>
      </c>
    </row>
    <row r="110" spans="1:5">
      <c r="A110" s="6"/>
      <c r="B110" s="9"/>
      <c r="C110" s="7">
        <f>SUM(C105:C109)</f>
        <v>2</v>
      </c>
      <c r="D110" s="7">
        <f t="shared" ref="D110:E110" si="13">SUM(D105:D109)</f>
        <v>5</v>
      </c>
      <c r="E110" s="7">
        <f t="shared" si="13"/>
        <v>5</v>
      </c>
    </row>
    <row r="111" spans="1:5" ht="28.2">
      <c r="A111" s="1" t="s">
        <v>30</v>
      </c>
      <c r="B111" s="3" t="s">
        <v>10</v>
      </c>
      <c r="C111" s="3">
        <v>19</v>
      </c>
      <c r="D111" s="3">
        <v>47</v>
      </c>
      <c r="E111" s="3">
        <v>0</v>
      </c>
    </row>
    <row r="112" spans="1:5">
      <c r="A112" s="1"/>
      <c r="B112" s="3" t="s">
        <v>11</v>
      </c>
      <c r="C112" s="3">
        <v>12</v>
      </c>
      <c r="D112" s="3">
        <v>0</v>
      </c>
      <c r="E112" s="3">
        <v>3</v>
      </c>
    </row>
    <row r="113" spans="1:5">
      <c r="A113" s="1"/>
      <c r="B113" s="3" t="s">
        <v>12</v>
      </c>
      <c r="C113" s="3">
        <v>575</v>
      </c>
      <c r="D113" s="3">
        <v>426</v>
      </c>
      <c r="E113" s="3">
        <v>427</v>
      </c>
    </row>
    <row r="114" spans="1:5">
      <c r="A114" s="1"/>
      <c r="B114" s="3" t="s">
        <v>13</v>
      </c>
      <c r="C114" s="3">
        <v>4</v>
      </c>
      <c r="D114" s="3">
        <v>6</v>
      </c>
      <c r="E114" s="3">
        <v>7</v>
      </c>
    </row>
    <row r="115" spans="1:5">
      <c r="A115" s="1"/>
      <c r="B115" s="3" t="s">
        <v>14</v>
      </c>
      <c r="C115" s="3">
        <v>0</v>
      </c>
      <c r="D115" s="3">
        <v>0</v>
      </c>
      <c r="E115" s="3">
        <v>2</v>
      </c>
    </row>
    <row r="116" spans="1:5">
      <c r="A116" s="1"/>
      <c r="B116" s="3" t="s">
        <v>15</v>
      </c>
      <c r="C116" s="3">
        <v>12</v>
      </c>
      <c r="D116" s="3">
        <v>17</v>
      </c>
      <c r="E116" s="3">
        <v>39</v>
      </c>
    </row>
    <row r="117" spans="1:5">
      <c r="A117" s="6"/>
      <c r="B117" s="7"/>
      <c r="C117" s="7">
        <f>SUM(C111:C116)</f>
        <v>622</v>
      </c>
      <c r="D117" s="7">
        <f t="shared" ref="D117:E117" si="14">SUM(D111:D116)</f>
        <v>496</v>
      </c>
      <c r="E117" s="7">
        <f t="shared" si="14"/>
        <v>478</v>
      </c>
    </row>
    <row r="118" spans="1:5" ht="28.2">
      <c r="A118" s="1" t="s">
        <v>31</v>
      </c>
      <c r="B118" s="3" t="s">
        <v>10</v>
      </c>
      <c r="C118" s="3">
        <v>12</v>
      </c>
      <c r="D118" s="3">
        <v>13</v>
      </c>
      <c r="E118" s="3">
        <v>0</v>
      </c>
    </row>
    <row r="119" spans="1:5">
      <c r="A119" s="1"/>
      <c r="B119" s="3" t="s">
        <v>11</v>
      </c>
      <c r="C119" s="3">
        <v>0</v>
      </c>
      <c r="D119" s="3">
        <v>0</v>
      </c>
      <c r="E119" s="3">
        <v>3</v>
      </c>
    </row>
    <row r="120" spans="1:5">
      <c r="A120" s="1"/>
      <c r="B120" s="3" t="s">
        <v>12</v>
      </c>
      <c r="C120" s="3">
        <v>428</v>
      </c>
      <c r="D120" s="3">
        <v>266</v>
      </c>
      <c r="E120" s="3">
        <v>307</v>
      </c>
    </row>
    <row r="121" spans="1:5">
      <c r="A121" s="1"/>
      <c r="B121" s="3" t="s">
        <v>13</v>
      </c>
      <c r="C121" s="3">
        <v>3</v>
      </c>
      <c r="D121" s="3">
        <v>3</v>
      </c>
      <c r="E121" s="3">
        <v>5</v>
      </c>
    </row>
    <row r="122" spans="1:5">
      <c r="A122" s="1"/>
      <c r="B122" s="3" t="s">
        <v>14</v>
      </c>
      <c r="C122" s="3">
        <v>0</v>
      </c>
      <c r="D122" s="3">
        <v>0</v>
      </c>
      <c r="E122" s="3">
        <v>0</v>
      </c>
    </row>
    <row r="123" spans="1:5">
      <c r="A123" s="1"/>
      <c r="B123" s="3" t="s">
        <v>15</v>
      </c>
      <c r="C123" s="3">
        <v>4</v>
      </c>
      <c r="D123" s="3">
        <v>8</v>
      </c>
      <c r="E123" s="3">
        <v>14</v>
      </c>
    </row>
    <row r="124" spans="1:5">
      <c r="A124" s="6"/>
      <c r="B124" s="7"/>
      <c r="C124" s="7">
        <f>SUM(C118:C123)</f>
        <v>447</v>
      </c>
      <c r="D124" s="7">
        <f t="shared" ref="D124:E124" si="15">SUM(D118:D123)</f>
        <v>290</v>
      </c>
      <c r="E124" s="7">
        <f t="shared" si="15"/>
        <v>329</v>
      </c>
    </row>
    <row r="125" spans="1:5" ht="28.2">
      <c r="A125" s="1" t="s">
        <v>32</v>
      </c>
      <c r="B125" s="3" t="s">
        <v>10</v>
      </c>
      <c r="C125" s="3">
        <v>13</v>
      </c>
      <c r="D125" s="3">
        <v>11</v>
      </c>
      <c r="E125" s="3">
        <v>6</v>
      </c>
    </row>
    <row r="126" spans="1:5">
      <c r="A126" s="1"/>
      <c r="B126" s="3" t="s">
        <v>11</v>
      </c>
      <c r="C126" s="3">
        <v>3</v>
      </c>
      <c r="D126" s="3">
        <v>0</v>
      </c>
      <c r="E126" s="3">
        <v>0</v>
      </c>
    </row>
    <row r="127" spans="1:5">
      <c r="A127" s="1"/>
      <c r="B127" s="3" t="s">
        <v>12</v>
      </c>
      <c r="C127" s="3">
        <v>215</v>
      </c>
      <c r="D127" s="3">
        <v>110</v>
      </c>
      <c r="E127" s="3">
        <v>111</v>
      </c>
    </row>
    <row r="128" spans="1:5">
      <c r="A128" s="1"/>
      <c r="B128" s="3" t="s">
        <v>13</v>
      </c>
      <c r="C128" s="3">
        <v>3</v>
      </c>
      <c r="D128" s="3">
        <v>1</v>
      </c>
      <c r="E128" s="3">
        <v>0</v>
      </c>
    </row>
    <row r="129" spans="1:5">
      <c r="A129" s="1"/>
      <c r="B129" s="3" t="s">
        <v>14</v>
      </c>
      <c r="C129" s="3">
        <v>0</v>
      </c>
      <c r="D129" s="3">
        <v>2</v>
      </c>
      <c r="E129" s="3">
        <v>0</v>
      </c>
    </row>
    <row r="130" spans="1:5">
      <c r="A130" s="1"/>
      <c r="B130" s="3" t="s">
        <v>15</v>
      </c>
      <c r="C130" s="3">
        <v>11</v>
      </c>
      <c r="D130" s="3">
        <v>6</v>
      </c>
      <c r="E130" s="3">
        <v>5</v>
      </c>
    </row>
    <row r="131" spans="1:5">
      <c r="A131" s="6"/>
      <c r="B131" s="7"/>
      <c r="C131" s="7">
        <f>SUM(C125:C130)</f>
        <v>245</v>
      </c>
      <c r="D131" s="7">
        <f t="shared" ref="D131:E131" si="16">SUM(D125:D130)</f>
        <v>130</v>
      </c>
      <c r="E131" s="7">
        <f t="shared" si="16"/>
        <v>122</v>
      </c>
    </row>
    <row r="132" spans="1:5" ht="28.2">
      <c r="A132" s="1" t="s">
        <v>33</v>
      </c>
      <c r="B132" s="3" t="s">
        <v>10</v>
      </c>
      <c r="C132" s="3">
        <v>9</v>
      </c>
      <c r="D132" s="3">
        <v>8</v>
      </c>
      <c r="E132" s="3">
        <v>0</v>
      </c>
    </row>
    <row r="133" spans="1:5">
      <c r="A133" s="3"/>
      <c r="B133" s="3" t="s">
        <v>11</v>
      </c>
      <c r="C133" s="3">
        <v>0</v>
      </c>
      <c r="D133" s="3">
        <v>0</v>
      </c>
      <c r="E133" s="3">
        <v>0</v>
      </c>
    </row>
    <row r="134" spans="1:5">
      <c r="A134" s="3"/>
      <c r="B134" s="3" t="s">
        <v>12</v>
      </c>
      <c r="C134" s="3">
        <v>22</v>
      </c>
      <c r="D134" s="3">
        <v>32</v>
      </c>
      <c r="E134" s="3">
        <v>20</v>
      </c>
    </row>
    <row r="135" spans="1:5">
      <c r="A135" s="3"/>
      <c r="B135" s="3" t="s">
        <v>13</v>
      </c>
      <c r="C135" s="3">
        <v>1</v>
      </c>
      <c r="D135" s="3">
        <v>1</v>
      </c>
      <c r="E135" s="3">
        <v>0</v>
      </c>
    </row>
    <row r="136" spans="1:5">
      <c r="A136" s="3"/>
      <c r="B136" s="3" t="s">
        <v>14</v>
      </c>
      <c r="C136" s="3">
        <v>0</v>
      </c>
      <c r="D136" s="3">
        <v>0</v>
      </c>
      <c r="E136" s="3">
        <v>0</v>
      </c>
    </row>
    <row r="137" spans="1:5">
      <c r="A137" s="3"/>
      <c r="B137" s="3" t="s">
        <v>15</v>
      </c>
      <c r="C137" s="3">
        <v>0</v>
      </c>
      <c r="D137" s="3">
        <v>0</v>
      </c>
      <c r="E137" s="3">
        <v>0</v>
      </c>
    </row>
    <row r="138" spans="1:5">
      <c r="A138" s="7"/>
      <c r="B138" s="7"/>
      <c r="C138" s="7">
        <f>SUM(C132:C137)</f>
        <v>32</v>
      </c>
      <c r="D138" s="7">
        <f t="shared" ref="D138:E138" si="17">SUM(D132:D137)</f>
        <v>41</v>
      </c>
      <c r="E138" s="7">
        <f t="shared" si="17"/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Vanhoutte, Piet</dc:creator>
  <cp:lastModifiedBy>Farshad Nour Mohammadi</cp:lastModifiedBy>
  <dcterms:created xsi:type="dcterms:W3CDTF">2024-02-20T09:38:27Z</dcterms:created>
  <dcterms:modified xsi:type="dcterms:W3CDTF">2024-07-24T23:32:23Z</dcterms:modified>
</cp:coreProperties>
</file>