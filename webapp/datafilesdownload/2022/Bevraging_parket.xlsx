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an_stas_vlaanderen_be/Documents/VPO/OHR2022/"/>
    </mc:Choice>
  </mc:AlternateContent>
  <xr:revisionPtr revIDLastSave="383" documentId="13_ncr:1_{A4F69183-8D43-4C4E-8567-E3306E648B9B}" xr6:coauthVersionLast="47" xr6:coauthVersionMax="47" xr10:uidLastSave="{513050A5-B074-4A05-B492-2DA1EB9C8664}"/>
  <bookViews>
    <workbookView xWindow="-120" yWindow="-120" windowWidth="29040" windowHeight="15840" xr2:uid="{C7EB7538-D01F-4204-929A-B6494DED9B1C}"/>
  </bookViews>
  <sheets>
    <sheet name="INSTROOM herkomst" sheetId="1" r:id="rId1"/>
    <sheet name="INSTROOM thematisch" sheetId="6" r:id="rId2"/>
    <sheet name="vooruitgangsstaat" sheetId="3" r:id="rId3"/>
    <sheet name="Afhandeling zonder strafvervol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D12" i="3"/>
  <c r="E12" i="3"/>
  <c r="F12" i="3"/>
  <c r="G12" i="3"/>
  <c r="B12" i="3"/>
  <c r="C11" i="4"/>
  <c r="D11" i="4"/>
  <c r="E11" i="4"/>
  <c r="F11" i="4"/>
  <c r="G11" i="4"/>
  <c r="B11" i="4"/>
  <c r="C2" i="4"/>
  <c r="D2" i="4"/>
  <c r="E2" i="4"/>
  <c r="F2" i="4"/>
  <c r="G2" i="4"/>
  <c r="B2" i="4"/>
  <c r="C24" i="6"/>
  <c r="C20" i="6"/>
  <c r="C17" i="6"/>
  <c r="C13" i="6"/>
  <c r="C6" i="6"/>
</calcChain>
</file>

<file path=xl/sharedStrings.xml><?xml version="1.0" encoding="utf-8"?>
<sst xmlns="http://schemas.openxmlformats.org/spreadsheetml/2006/main" count="90" uniqueCount="75">
  <si>
    <t>Milieu</t>
  </si>
  <si>
    <t>Ruimtelijke ordening</t>
  </si>
  <si>
    <t>algemene politie</t>
  </si>
  <si>
    <t>inspectiediensten</t>
  </si>
  <si>
    <t>klachten &amp; BP-stellingen</t>
  </si>
  <si>
    <t>andere zendingen</t>
  </si>
  <si>
    <t>onbekend/error</t>
  </si>
  <si>
    <r>
      <t>Milieubeheerrecht</t>
    </r>
    <r>
      <rPr>
        <sz val="8"/>
        <color rgb="FF000000"/>
        <rFont val="Arial"/>
        <family val="2"/>
      </rPr>
      <t> </t>
    </r>
  </si>
  <si>
    <t>63A - Jacht</t>
  </si>
  <si>
    <t>63B - Visvangst</t>
  </si>
  <si>
    <t>63M - Bosdecreet</t>
  </si>
  <si>
    <t>63N - Beschermde diersoorten, planten en ivoor (conventie van Washington, 9 maart 1973)</t>
  </si>
  <si>
    <t>64J - Vlaams decreet betreffende het natuurbehoud en natuurlijk milieu (21 oktober 1997)</t>
  </si>
  <si>
    <t>Totaal rubriek</t>
  </si>
  <si>
    <t>Lucht/water/bodem/geluid (emissies)</t>
  </si>
  <si>
    <t>64A - Lucht- en waterverontreiniging</t>
  </si>
  <si>
    <t>64B - Koolstofmonoxyde (CO)</t>
  </si>
  <si>
    <t>64C - Geluidsnormen in stedelijke omgeving (KB 24 februari 1977)</t>
  </si>
  <si>
    <t>64G - Illegale waterwinning</t>
  </si>
  <si>
    <t>64M - Oppervlaktewaterverontreiniging</t>
  </si>
  <si>
    <t>64N - Grondwaterverontreiniging</t>
  </si>
  <si>
    <t>Vergunning</t>
  </si>
  <si>
    <t>64D - Commodo - incommodo (milieuvergunning)</t>
  </si>
  <si>
    <t>64H - Exploitatie van een inrichting zonder vergunning</t>
  </si>
  <si>
    <t>64I - Niet naleven Vlarem-wetgeving</t>
  </si>
  <si>
    <t>Mest</t>
  </si>
  <si>
    <t>63I - Meststoffen</t>
  </si>
  <si>
    <t>63O - Mestdecreet</t>
  </si>
  <si>
    <t>Afval</t>
  </si>
  <si>
    <t>64E - Sluikstorten</t>
  </si>
  <si>
    <t>64F - Beheer van afvalstoffen</t>
  </si>
  <si>
    <t>64L - Invoer en doorvoer van afvalstoffen (wet 12 mei 2011)</t>
  </si>
  <si>
    <r>
      <t>Ruimtelijke Ordening</t>
    </r>
    <r>
      <rPr>
        <sz val="8"/>
        <color rgb="FF000000"/>
        <rFont val="Arial"/>
        <family val="2"/>
      </rPr>
      <t> </t>
    </r>
  </si>
  <si>
    <t>66B - Ruimtelijke ordening en stedenbouw</t>
  </si>
  <si>
    <t>66C - Reclameborden</t>
  </si>
  <si>
    <t>66G - Vellen hoogstammige bomen</t>
  </si>
  <si>
    <t>Vooronderzoek</t>
  </si>
  <si>
    <t>Ter beschikking</t>
  </si>
  <si>
    <t>Pretoriaanse probatie</t>
  </si>
  <si>
    <t>Dagvaarding en verder</t>
  </si>
  <si>
    <t>Emissies</t>
  </si>
  <si>
    <t>Vergunningen</t>
  </si>
  <si>
    <t>Milieubeheerrecht</t>
  </si>
  <si>
    <t>Geen misdrijf</t>
  </si>
  <si>
    <t>Onvoldoende bewijzen</t>
  </si>
  <si>
    <t>66F - Bescherming van monumenten, stads- en dorpsgezichten</t>
  </si>
  <si>
    <t>Afhandeling zonder strafvervolging om technische redenen</t>
  </si>
  <si>
    <t>Afhandeling zonder strafvervolging om opportuniteitsredenen</t>
  </si>
  <si>
    <t>Seining van de verdachte</t>
  </si>
  <si>
    <t>Ketengerichte afhandeling: administratieve behandeling</t>
  </si>
  <si>
    <t>Betaling van een geldsom</t>
  </si>
  <si>
    <t>Gerechtelijk onderzoek</t>
  </si>
  <si>
    <t>totaal</t>
  </si>
  <si>
    <t xml:space="preserve"> Extractiedatum 8/1/23</t>
  </si>
  <si>
    <t xml:space="preserve">Afhandeling zonder strafvervolging om opportuniteitsredenen                                                           </t>
  </si>
  <si>
    <t>Verjaring</t>
  </si>
  <si>
    <t>Verlies van rechtspersoonlijkheid</t>
  </si>
  <si>
    <t>Kracht van gewijsde</t>
  </si>
  <si>
    <t>Ne bis in idem</t>
  </si>
  <si>
    <t>Dader(s) onbekend</t>
  </si>
  <si>
    <t>Overlijden van de dader</t>
  </si>
  <si>
    <t>Beperkte maatschappelijke weerslag</t>
  </si>
  <si>
    <t>Redelijke termijn overschreden</t>
  </si>
  <si>
    <t>Afwezigheid van voorgaanden</t>
  </si>
  <si>
    <t>Te weinig recherche capaciteit</t>
  </si>
  <si>
    <t>Voorrang aan de burgerlijke afhandeling</t>
  </si>
  <si>
    <t>Wanverhouding tussen de gevolgen van de 
wanverhouding tussen de gevolgen van de 
Wanverhouding tussen de gevolgen van de strafvervolging en de maatschappelijke verstoring</t>
  </si>
  <si>
    <t>Toevallige feiten met oorzaak</t>
  </si>
  <si>
    <t>Aandeel van partijen niet duidelijk te bepalen</t>
  </si>
  <si>
    <t>Mogelijke opslorping</t>
  </si>
  <si>
    <t>Jeugdige leeftijd van de verdachte</t>
  </si>
  <si>
    <t>Andere prioriteiten bij opsporings- en vervolgingsbeleid</t>
  </si>
  <si>
    <t xml:space="preserve">Schade geregeld of onwettige toestand geregulariseerd                                                                                                   </t>
  </si>
  <si>
    <t>Nadeel gering</t>
  </si>
  <si>
    <t>Houding van de klager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</si>
</sst>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FlandersArtSans-Regular"/>
    </font>
    <font>
      <sz val="11"/>
      <color rgb="FF000000"/>
      <name val="FlandersArtSans-Regular"/>
    </font>
    <font>
      <b/>
      <i/>
      <sz val="11"/>
      <color rgb="FF000000"/>
      <name val="FlandersArtSans-Regular"/>
    </font>
    <font>
      <i/>
      <sz val="12"/>
      <color theme="1"/>
      <name val="Times New Roman"/>
      <family val="1"/>
    </font>
    <font>
      <i/>
      <sz val="11"/>
      <color rgb="FF000000"/>
      <name val="FlandersArtSans-Regula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2" fillId="0" borderId="2" xfId="0" applyFont="1" applyFill="1" applyBorder="1" applyAlignment="1">
      <alignment horizontal="justify" vertical="center"/>
    </xf>
    <xf numFmtId="0" fontId="2" fillId="0" borderId="4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right" vertical="center" wrapText="1"/>
    </xf>
    <xf numFmtId="0" fontId="5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0" fillId="0" borderId="15" xfId="0" applyBorder="1"/>
    <xf numFmtId="0" fontId="10" fillId="0" borderId="16" xfId="0" applyFont="1" applyFill="1" applyBorder="1" applyAlignment="1">
      <alignment vertical="center" wrapText="1"/>
    </xf>
    <xf numFmtId="0" fontId="13" fillId="0" borderId="17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10" fillId="0" borderId="17" xfId="0" applyFont="1" applyFill="1" applyBorder="1" applyAlignment="1">
      <alignment vertical="center" wrapText="1"/>
    </xf>
    <xf numFmtId="0" fontId="0" fillId="0" borderId="0" xfId="0" applyBorder="1"/>
    <xf numFmtId="0" fontId="10" fillId="0" borderId="16" xfId="0" applyFont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5CB1-A788-478D-98F2-D17FEE92F2A3}">
  <dimension ref="B1:H32"/>
  <sheetViews>
    <sheetView tabSelected="1" workbookViewId="0">
      <selection activeCell="D12" sqref="D12"/>
    </sheetView>
  </sheetViews>
  <sheetFormatPr defaultRowHeight="15" x14ac:dyDescent="0.25"/>
  <cols>
    <col min="8" max="8" width="43.42578125" customWidth="1"/>
    <col min="9" max="9" width="28.5703125" customWidth="1"/>
    <col min="10" max="10" width="35.7109375" customWidth="1"/>
  </cols>
  <sheetData>
    <row r="1" spans="2:5" ht="15.75" thickBot="1" x14ac:dyDescent="0.3"/>
    <row r="2" spans="2:5" ht="39" thickBot="1" x14ac:dyDescent="0.3">
      <c r="B2" s="1"/>
      <c r="C2" s="8" t="s">
        <v>0</v>
      </c>
      <c r="D2" s="6" t="s">
        <v>1</v>
      </c>
      <c r="E2" s="4"/>
    </row>
    <row r="3" spans="2:5" ht="26.25" thickBot="1" x14ac:dyDescent="0.3">
      <c r="B3" s="2" t="s">
        <v>2</v>
      </c>
      <c r="C3" s="9">
        <v>1981</v>
      </c>
      <c r="D3" s="7">
        <v>954</v>
      </c>
      <c r="E3" s="5"/>
    </row>
    <row r="4" spans="2:5" ht="26.25" thickBot="1" x14ac:dyDescent="0.3">
      <c r="B4" s="2" t="s">
        <v>3</v>
      </c>
      <c r="C4" s="9">
        <v>2306</v>
      </c>
      <c r="D4" s="7">
        <v>1053</v>
      </c>
      <c r="E4" s="5"/>
    </row>
    <row r="5" spans="2:5" ht="39" thickBot="1" x14ac:dyDescent="0.3">
      <c r="B5" s="2" t="s">
        <v>4</v>
      </c>
      <c r="C5" s="9">
        <v>17</v>
      </c>
      <c r="D5" s="7">
        <v>29</v>
      </c>
      <c r="E5" s="5"/>
    </row>
    <row r="6" spans="2:5" ht="39" thickBot="1" x14ac:dyDescent="0.3">
      <c r="B6" s="2" t="s">
        <v>5</v>
      </c>
      <c r="C6" s="9">
        <v>9</v>
      </c>
      <c r="D6" s="7">
        <v>1</v>
      </c>
      <c r="E6" s="5"/>
    </row>
    <row r="7" spans="2:5" ht="26.25" thickBot="1" x14ac:dyDescent="0.3">
      <c r="B7" s="2" t="s">
        <v>6</v>
      </c>
      <c r="C7" s="9">
        <v>9</v>
      </c>
      <c r="D7" s="7">
        <v>0</v>
      </c>
      <c r="E7" s="5"/>
    </row>
    <row r="8" spans="2:5" ht="15.75" thickBot="1" x14ac:dyDescent="0.3">
      <c r="B8" s="2"/>
      <c r="C8" s="9"/>
      <c r="D8" s="9"/>
      <c r="E8" s="5"/>
    </row>
    <row r="26" spans="8:8" ht="87" customHeight="1" x14ac:dyDescent="0.25"/>
    <row r="31" spans="8:8" x14ac:dyDescent="0.25">
      <c r="H31" s="3"/>
    </row>
    <row r="32" spans="8:8" x14ac:dyDescent="0.25">
      <c r="H3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BC6-DDAE-4641-AFE7-129D9A42F277}">
  <dimension ref="A1:C29"/>
  <sheetViews>
    <sheetView workbookViewId="0">
      <selection activeCell="H25" sqref="H25"/>
    </sheetView>
  </sheetViews>
  <sheetFormatPr defaultRowHeight="15" x14ac:dyDescent="0.25"/>
  <cols>
    <col min="2" max="2" width="70.5703125" customWidth="1"/>
  </cols>
  <sheetData>
    <row r="1" spans="1:3" ht="15.75" thickBot="1" x14ac:dyDescent="0.3">
      <c r="A1" s="33" t="s">
        <v>7</v>
      </c>
      <c r="B1" s="10" t="s">
        <v>8</v>
      </c>
      <c r="C1" s="10">
        <v>121</v>
      </c>
    </row>
    <row r="2" spans="1:3" ht="15.75" thickBot="1" x14ac:dyDescent="0.3">
      <c r="A2" s="34"/>
      <c r="B2" s="11" t="s">
        <v>9</v>
      </c>
      <c r="C2" s="11">
        <v>52</v>
      </c>
    </row>
    <row r="3" spans="1:3" ht="15.75" thickBot="1" x14ac:dyDescent="0.3">
      <c r="A3" s="34"/>
      <c r="B3" s="11" t="s">
        <v>10</v>
      </c>
      <c r="C3" s="11">
        <v>210</v>
      </c>
    </row>
    <row r="4" spans="1:3" ht="26.25" thickBot="1" x14ac:dyDescent="0.3">
      <c r="A4" s="34"/>
      <c r="B4" s="11" t="s">
        <v>11</v>
      </c>
      <c r="C4" s="11">
        <v>119</v>
      </c>
    </row>
    <row r="5" spans="1:3" ht="26.25" thickBot="1" x14ac:dyDescent="0.3">
      <c r="A5" s="34"/>
      <c r="B5" s="11" t="s">
        <v>12</v>
      </c>
      <c r="C5" s="11">
        <v>277</v>
      </c>
    </row>
    <row r="6" spans="1:3" ht="15.75" thickBot="1" x14ac:dyDescent="0.3">
      <c r="A6" s="35"/>
      <c r="B6" s="12" t="s">
        <v>13</v>
      </c>
      <c r="C6" s="13">
        <f>SUM(C1:C5)</f>
        <v>779</v>
      </c>
    </row>
    <row r="7" spans="1:3" ht="15.75" thickBot="1" x14ac:dyDescent="0.3">
      <c r="A7" s="36" t="s">
        <v>14</v>
      </c>
      <c r="B7" s="11" t="s">
        <v>15</v>
      </c>
      <c r="C7" s="11">
        <v>188</v>
      </c>
    </row>
    <row r="8" spans="1:3" ht="15.75" thickBot="1" x14ac:dyDescent="0.3">
      <c r="A8" s="37"/>
      <c r="B8" s="11" t="s">
        <v>16</v>
      </c>
      <c r="C8" s="11">
        <v>1</v>
      </c>
    </row>
    <row r="9" spans="1:3" ht="15.75" thickBot="1" x14ac:dyDescent="0.3">
      <c r="A9" s="37"/>
      <c r="B9" s="11" t="s">
        <v>17</v>
      </c>
      <c r="C9" s="11">
        <v>71</v>
      </c>
    </row>
    <row r="10" spans="1:3" ht="15.75" thickBot="1" x14ac:dyDescent="0.3">
      <c r="A10" s="37"/>
      <c r="B10" s="11" t="s">
        <v>18</v>
      </c>
      <c r="C10" s="11">
        <v>8</v>
      </c>
    </row>
    <row r="11" spans="1:3" ht="15.75" thickBot="1" x14ac:dyDescent="0.3">
      <c r="A11" s="37"/>
      <c r="B11" s="11" t="s">
        <v>19</v>
      </c>
      <c r="C11" s="11">
        <v>56</v>
      </c>
    </row>
    <row r="12" spans="1:3" ht="15.75" thickBot="1" x14ac:dyDescent="0.3">
      <c r="A12" s="37"/>
      <c r="B12" s="11" t="s">
        <v>20</v>
      </c>
      <c r="C12" s="11">
        <v>20</v>
      </c>
    </row>
    <row r="13" spans="1:3" ht="15.75" thickBot="1" x14ac:dyDescent="0.3">
      <c r="A13" s="38"/>
      <c r="B13" s="12" t="s">
        <v>13</v>
      </c>
      <c r="C13" s="13">
        <f>SUM(C7:C12)</f>
        <v>344</v>
      </c>
    </row>
    <row r="14" spans="1:3" ht="15.75" thickBot="1" x14ac:dyDescent="0.3">
      <c r="A14" s="36" t="s">
        <v>21</v>
      </c>
      <c r="B14" s="11" t="s">
        <v>22</v>
      </c>
      <c r="C14" s="11">
        <v>17</v>
      </c>
    </row>
    <row r="15" spans="1:3" ht="15.75" thickBot="1" x14ac:dyDescent="0.3">
      <c r="A15" s="37"/>
      <c r="B15" s="11" t="s">
        <v>23</v>
      </c>
      <c r="C15" s="11">
        <v>340</v>
      </c>
    </row>
    <row r="16" spans="1:3" ht="15.75" thickBot="1" x14ac:dyDescent="0.3">
      <c r="A16" s="37"/>
      <c r="B16" s="11" t="s">
        <v>24</v>
      </c>
      <c r="C16" s="11">
        <v>842</v>
      </c>
    </row>
    <row r="17" spans="1:3" ht="15.75" thickBot="1" x14ac:dyDescent="0.3">
      <c r="A17" s="38"/>
      <c r="B17" s="12" t="s">
        <v>13</v>
      </c>
      <c r="C17" s="13">
        <f>SUM(C14:C16)</f>
        <v>1199</v>
      </c>
    </row>
    <row r="18" spans="1:3" ht="15.75" thickBot="1" x14ac:dyDescent="0.3">
      <c r="A18" s="36" t="s">
        <v>25</v>
      </c>
      <c r="B18" s="11" t="s">
        <v>26</v>
      </c>
      <c r="C18" s="11">
        <v>145</v>
      </c>
    </row>
    <row r="19" spans="1:3" ht="15.75" thickBot="1" x14ac:dyDescent="0.3">
      <c r="A19" s="37"/>
      <c r="B19" s="11" t="s">
        <v>27</v>
      </c>
      <c r="C19" s="11">
        <v>165</v>
      </c>
    </row>
    <row r="20" spans="1:3" ht="15.75" thickBot="1" x14ac:dyDescent="0.3">
      <c r="A20" s="38"/>
      <c r="B20" s="12" t="s">
        <v>13</v>
      </c>
      <c r="C20" s="13">
        <f>SUM(C18:C19)</f>
        <v>310</v>
      </c>
    </row>
    <row r="21" spans="1:3" ht="15.75" thickBot="1" x14ac:dyDescent="0.3">
      <c r="A21" s="36" t="s">
        <v>28</v>
      </c>
      <c r="B21" s="11" t="s">
        <v>29</v>
      </c>
      <c r="C21" s="11">
        <v>1106</v>
      </c>
    </row>
    <row r="22" spans="1:3" ht="15.75" thickBot="1" x14ac:dyDescent="0.3">
      <c r="A22" s="37"/>
      <c r="B22" s="11" t="s">
        <v>30</v>
      </c>
      <c r="C22" s="11">
        <v>563</v>
      </c>
    </row>
    <row r="23" spans="1:3" ht="15.75" thickBot="1" x14ac:dyDescent="0.3">
      <c r="A23" s="37"/>
      <c r="B23" s="11" t="s">
        <v>31</v>
      </c>
      <c r="C23" s="11">
        <v>21</v>
      </c>
    </row>
    <row r="24" spans="1:3" ht="15.75" thickBot="1" x14ac:dyDescent="0.3">
      <c r="A24" s="38"/>
      <c r="B24" s="25" t="s">
        <v>13</v>
      </c>
      <c r="C24" s="26">
        <f>SUM(C21:C23)</f>
        <v>1690</v>
      </c>
    </row>
    <row r="25" spans="1:3" x14ac:dyDescent="0.25">
      <c r="A25" s="30" t="s">
        <v>32</v>
      </c>
      <c r="B25" s="27" t="s">
        <v>33</v>
      </c>
      <c r="C25" s="27">
        <v>1973</v>
      </c>
    </row>
    <row r="26" spans="1:3" x14ac:dyDescent="0.25">
      <c r="A26" s="31"/>
      <c r="B26" s="27" t="s">
        <v>34</v>
      </c>
      <c r="C26" s="27">
        <v>10</v>
      </c>
    </row>
    <row r="27" spans="1:3" x14ac:dyDescent="0.25">
      <c r="A27" s="31"/>
      <c r="B27" s="27" t="s">
        <v>45</v>
      </c>
      <c r="C27" s="27">
        <v>28</v>
      </c>
    </row>
    <row r="28" spans="1:3" x14ac:dyDescent="0.25">
      <c r="A28" s="31"/>
      <c r="B28" s="27" t="s">
        <v>35</v>
      </c>
      <c r="C28" s="27">
        <v>26</v>
      </c>
    </row>
    <row r="29" spans="1:3" ht="15.75" thickBot="1" x14ac:dyDescent="0.3">
      <c r="A29" s="32"/>
      <c r="B29" s="28" t="s">
        <v>13</v>
      </c>
      <c r="C29" s="29">
        <v>2037</v>
      </c>
    </row>
  </sheetData>
  <mergeCells count="6">
    <mergeCell ref="A25:A29"/>
    <mergeCell ref="A1:A6"/>
    <mergeCell ref="A7:A13"/>
    <mergeCell ref="A14:A17"/>
    <mergeCell ref="A18:A20"/>
    <mergeCell ref="A21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5B97-0978-4023-A128-9A9066D8B594}">
  <dimension ref="A1:G12"/>
  <sheetViews>
    <sheetView workbookViewId="0">
      <selection activeCell="H1" sqref="H1:H1048576"/>
    </sheetView>
  </sheetViews>
  <sheetFormatPr defaultRowHeight="15" x14ac:dyDescent="0.25"/>
  <cols>
    <col min="1" max="1" width="22" customWidth="1"/>
    <col min="2" max="2" width="23.85546875" customWidth="1"/>
    <col min="3" max="3" width="39.140625" customWidth="1"/>
    <col min="4" max="4" width="34" customWidth="1"/>
    <col min="5" max="5" width="38.7109375" customWidth="1"/>
    <col min="6" max="6" width="35.28515625" customWidth="1"/>
    <col min="7" max="7" width="51.7109375" customWidth="1"/>
  </cols>
  <sheetData>
    <row r="1" spans="1:7" ht="63" customHeight="1" thickBot="1" x14ac:dyDescent="0.3">
      <c r="A1" s="17" t="s">
        <v>53</v>
      </c>
      <c r="B1" s="14" t="s">
        <v>28</v>
      </c>
      <c r="C1" s="14" t="s">
        <v>25</v>
      </c>
      <c r="D1" s="18" t="s">
        <v>41</v>
      </c>
      <c r="E1" s="18" t="s">
        <v>42</v>
      </c>
      <c r="F1" s="14" t="s">
        <v>40</v>
      </c>
      <c r="G1" s="40" t="s">
        <v>1</v>
      </c>
    </row>
    <row r="2" spans="1:7" s="41" customFormat="1" ht="15.75" thickBot="1" x14ac:dyDescent="0.3">
      <c r="A2" s="39" t="s">
        <v>36</v>
      </c>
      <c r="B2" s="40">
        <v>324</v>
      </c>
      <c r="C2" s="40">
        <v>24</v>
      </c>
      <c r="D2" s="40">
        <v>497</v>
      </c>
      <c r="E2" s="40">
        <v>199</v>
      </c>
      <c r="F2" s="40">
        <v>84</v>
      </c>
      <c r="G2" s="15">
        <v>1039</v>
      </c>
    </row>
    <row r="3" spans="1:7" ht="45.75" thickBot="1" x14ac:dyDescent="0.3">
      <c r="A3" s="16" t="s">
        <v>46</v>
      </c>
      <c r="B3" s="15">
        <v>395</v>
      </c>
      <c r="C3" s="15">
        <v>3</v>
      </c>
      <c r="D3" s="15">
        <v>34</v>
      </c>
      <c r="E3" s="15">
        <v>55</v>
      </c>
      <c r="F3" s="15">
        <v>47</v>
      </c>
      <c r="G3" s="15">
        <v>142</v>
      </c>
    </row>
    <row r="4" spans="1:7" ht="45.75" thickBot="1" x14ac:dyDescent="0.3">
      <c r="A4" s="16" t="s">
        <v>47</v>
      </c>
      <c r="B4" s="15">
        <v>94</v>
      </c>
      <c r="C4" s="15">
        <v>10</v>
      </c>
      <c r="D4" s="15">
        <v>24</v>
      </c>
      <c r="E4" s="15">
        <v>53</v>
      </c>
      <c r="F4" s="15">
        <v>30</v>
      </c>
      <c r="G4" s="15">
        <v>181</v>
      </c>
    </row>
    <row r="5" spans="1:7" ht="30.75" thickBot="1" x14ac:dyDescent="0.3">
      <c r="A5" s="16" t="s">
        <v>48</v>
      </c>
      <c r="B5" s="15">
        <v>8</v>
      </c>
      <c r="C5" s="15">
        <v>0</v>
      </c>
      <c r="D5" s="15">
        <v>6</v>
      </c>
      <c r="E5" s="15">
        <v>0</v>
      </c>
      <c r="F5" s="15">
        <v>1</v>
      </c>
      <c r="G5" s="15"/>
    </row>
    <row r="6" spans="1:7" ht="15.75" thickBot="1" x14ac:dyDescent="0.3">
      <c r="A6" s="16" t="s">
        <v>37</v>
      </c>
      <c r="B6" s="15">
        <v>15</v>
      </c>
      <c r="C6" s="15">
        <v>1</v>
      </c>
      <c r="D6" s="15">
        <v>5</v>
      </c>
      <c r="E6" s="15">
        <v>21</v>
      </c>
      <c r="F6" s="15">
        <v>4</v>
      </c>
      <c r="G6" s="15">
        <v>5</v>
      </c>
    </row>
    <row r="7" spans="1:7" ht="15.75" thickBot="1" x14ac:dyDescent="0.3">
      <c r="A7" s="16" t="s">
        <v>38</v>
      </c>
      <c r="B7" s="15">
        <v>19</v>
      </c>
      <c r="C7" s="15">
        <v>2</v>
      </c>
      <c r="D7" s="15">
        <v>6</v>
      </c>
      <c r="E7" s="15">
        <v>12</v>
      </c>
      <c r="F7" s="15">
        <v>6</v>
      </c>
      <c r="G7" s="15">
        <v>63</v>
      </c>
    </row>
    <row r="8" spans="1:7" ht="60.75" thickBot="1" x14ac:dyDescent="0.3">
      <c r="A8" s="16" t="s">
        <v>49</v>
      </c>
      <c r="B8" s="15">
        <v>759</v>
      </c>
      <c r="C8" s="15">
        <v>269</v>
      </c>
      <c r="D8" s="15">
        <v>580</v>
      </c>
      <c r="E8" s="15">
        <v>365</v>
      </c>
      <c r="F8" s="15">
        <v>157</v>
      </c>
      <c r="G8" s="15">
        <v>571</v>
      </c>
    </row>
    <row r="9" spans="1:7" ht="30.75" thickBot="1" x14ac:dyDescent="0.3">
      <c r="A9" s="16" t="s">
        <v>50</v>
      </c>
      <c r="B9" s="15">
        <v>16</v>
      </c>
      <c r="C9" s="15">
        <v>1</v>
      </c>
      <c r="D9" s="15">
        <v>9</v>
      </c>
      <c r="E9" s="15">
        <v>44</v>
      </c>
      <c r="F9" s="15">
        <v>9</v>
      </c>
      <c r="G9" s="15">
        <v>2</v>
      </c>
    </row>
    <row r="10" spans="1:7" ht="15.75" thickBot="1" x14ac:dyDescent="0.3">
      <c r="A10" s="16" t="s">
        <v>51</v>
      </c>
      <c r="B10" s="15">
        <v>3</v>
      </c>
      <c r="C10" s="15">
        <v>0</v>
      </c>
      <c r="D10" s="15">
        <v>16</v>
      </c>
      <c r="E10" s="15">
        <v>5</v>
      </c>
      <c r="F10" s="15">
        <v>1</v>
      </c>
      <c r="G10" s="15">
        <v>12</v>
      </c>
    </row>
    <row r="11" spans="1:7" ht="15.75" thickBot="1" x14ac:dyDescent="0.3">
      <c r="A11" s="16" t="s">
        <v>39</v>
      </c>
      <c r="B11" s="15">
        <v>57</v>
      </c>
      <c r="C11" s="15">
        <v>0</v>
      </c>
      <c r="D11" s="15">
        <v>22</v>
      </c>
      <c r="E11" s="15">
        <v>25</v>
      </c>
      <c r="F11" s="15">
        <v>5</v>
      </c>
      <c r="G11" s="40">
        <v>22</v>
      </c>
    </row>
    <row r="12" spans="1:7" ht="15.75" thickBot="1" x14ac:dyDescent="0.3">
      <c r="A12" s="48" t="s">
        <v>52</v>
      </c>
      <c r="B12">
        <f>SUM(B2:B11)</f>
        <v>1690</v>
      </c>
      <c r="C12">
        <f t="shared" ref="C12:G12" si="0">SUM(C2:C11)</f>
        <v>310</v>
      </c>
      <c r="D12">
        <f t="shared" si="0"/>
        <v>1199</v>
      </c>
      <c r="E12">
        <f t="shared" si="0"/>
        <v>779</v>
      </c>
      <c r="F12">
        <f t="shared" si="0"/>
        <v>344</v>
      </c>
      <c r="G12" s="15">
        <f t="shared" si="0"/>
        <v>2037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61FF-2332-4B2A-83B7-C4E12CA63BD8}">
  <dimension ref="A1:G25"/>
  <sheetViews>
    <sheetView workbookViewId="0">
      <selection activeCell="A26" sqref="A26:XFD26"/>
    </sheetView>
  </sheetViews>
  <sheetFormatPr defaultRowHeight="15" x14ac:dyDescent="0.25"/>
  <cols>
    <col min="1" max="1" width="30.7109375" customWidth="1"/>
  </cols>
  <sheetData>
    <row r="1" spans="1:7" ht="45" x14ac:dyDescent="0.25">
      <c r="A1" s="19"/>
      <c r="B1" s="20" t="s">
        <v>28</v>
      </c>
      <c r="C1" s="20" t="s">
        <v>25</v>
      </c>
      <c r="D1" s="20" t="s">
        <v>21</v>
      </c>
      <c r="E1" s="20" t="s">
        <v>42</v>
      </c>
      <c r="F1" s="20" t="s">
        <v>40</v>
      </c>
      <c r="G1" s="20" t="s">
        <v>1</v>
      </c>
    </row>
    <row r="2" spans="1:7" ht="45" x14ac:dyDescent="0.25">
      <c r="A2" s="21" t="s">
        <v>46</v>
      </c>
      <c r="B2" s="19">
        <f>SUM(B3:B10)</f>
        <v>395</v>
      </c>
      <c r="C2" s="19">
        <f t="shared" ref="C2:G2" si="0">SUM(C3:C10)</f>
        <v>3</v>
      </c>
      <c r="D2" s="19">
        <f t="shared" si="0"/>
        <v>34</v>
      </c>
      <c r="E2" s="19">
        <f t="shared" si="0"/>
        <v>55</v>
      </c>
      <c r="F2" s="19">
        <f t="shared" si="0"/>
        <v>47</v>
      </c>
      <c r="G2" s="19">
        <f t="shared" si="0"/>
        <v>142</v>
      </c>
    </row>
    <row r="3" spans="1:7" ht="15.75" x14ac:dyDescent="0.25">
      <c r="A3" s="20" t="s">
        <v>43</v>
      </c>
      <c r="B3" s="20">
        <v>22</v>
      </c>
      <c r="C3" s="20">
        <v>1</v>
      </c>
      <c r="D3" s="20">
        <v>6</v>
      </c>
      <c r="E3" s="20">
        <v>9</v>
      </c>
      <c r="F3" s="20">
        <v>6</v>
      </c>
      <c r="G3" s="22">
        <v>18</v>
      </c>
    </row>
    <row r="4" spans="1:7" ht="15.75" x14ac:dyDescent="0.25">
      <c r="A4" s="20" t="s">
        <v>44</v>
      </c>
      <c r="B4" s="20">
        <v>303</v>
      </c>
      <c r="C4" s="20"/>
      <c r="D4" s="20">
        <v>22</v>
      </c>
      <c r="E4" s="20">
        <v>27</v>
      </c>
      <c r="F4" s="20">
        <v>25</v>
      </c>
      <c r="G4" s="22">
        <v>33</v>
      </c>
    </row>
    <row r="5" spans="1:7" ht="15.75" x14ac:dyDescent="0.25">
      <c r="A5" s="20" t="s">
        <v>59</v>
      </c>
      <c r="B5" s="20">
        <v>62</v>
      </c>
      <c r="C5" s="20">
        <v>2</v>
      </c>
      <c r="D5" s="20">
        <v>1</v>
      </c>
      <c r="E5" s="20">
        <v>16</v>
      </c>
      <c r="F5" s="20">
        <v>10</v>
      </c>
      <c r="G5" s="22">
        <v>4</v>
      </c>
    </row>
    <row r="6" spans="1:7" ht="15.75" x14ac:dyDescent="0.25">
      <c r="A6" s="20" t="s">
        <v>55</v>
      </c>
      <c r="B6" s="20"/>
      <c r="C6" s="20"/>
      <c r="D6" s="20"/>
      <c r="E6" s="20">
        <v>1</v>
      </c>
      <c r="F6" s="20">
        <v>1</v>
      </c>
      <c r="G6" s="22">
        <v>83</v>
      </c>
    </row>
    <row r="7" spans="1:7" ht="15.75" x14ac:dyDescent="0.25">
      <c r="A7" s="42" t="s">
        <v>60</v>
      </c>
      <c r="B7" s="20">
        <v>3</v>
      </c>
      <c r="C7" s="20"/>
      <c r="D7" s="20"/>
      <c r="E7" s="20">
        <v>1</v>
      </c>
      <c r="F7" s="20">
        <v>1</v>
      </c>
      <c r="G7" s="22">
        <v>3</v>
      </c>
    </row>
    <row r="8" spans="1:7" ht="30" x14ac:dyDescent="0.25">
      <c r="A8" s="20" t="s">
        <v>56</v>
      </c>
      <c r="B8" s="20">
        <v>1</v>
      </c>
      <c r="C8" s="20"/>
      <c r="D8" s="20"/>
      <c r="E8" s="20"/>
      <c r="F8" s="20"/>
      <c r="G8" s="22"/>
    </row>
    <row r="9" spans="1:7" ht="15.75" x14ac:dyDescent="0.25">
      <c r="A9" s="20" t="s">
        <v>57</v>
      </c>
      <c r="B9" s="20">
        <v>1</v>
      </c>
      <c r="C9" s="20"/>
      <c r="D9" s="20">
        <v>5</v>
      </c>
      <c r="E9" s="20">
        <v>1</v>
      </c>
      <c r="F9" s="20">
        <v>4</v>
      </c>
      <c r="G9" s="22">
        <v>1</v>
      </c>
    </row>
    <row r="10" spans="1:7" ht="15.75" x14ac:dyDescent="0.25">
      <c r="A10" s="20" t="s">
        <v>58</v>
      </c>
      <c r="B10" s="20">
        <v>3</v>
      </c>
      <c r="C10" s="20"/>
      <c r="D10" s="20"/>
      <c r="E10" s="20"/>
      <c r="F10" s="20"/>
      <c r="G10" s="22"/>
    </row>
    <row r="11" spans="1:7" ht="45" x14ac:dyDescent="0.25">
      <c r="A11" s="21" t="s">
        <v>54</v>
      </c>
      <c r="B11" s="19">
        <f>SUM(B12:B25)</f>
        <v>94</v>
      </c>
      <c r="C11" s="19">
        <f t="shared" ref="C11:G11" si="1">SUM(C12:C25)</f>
        <v>10</v>
      </c>
      <c r="D11" s="19">
        <f t="shared" si="1"/>
        <v>24</v>
      </c>
      <c r="E11" s="19">
        <f t="shared" si="1"/>
        <v>53</v>
      </c>
      <c r="F11" s="19">
        <f t="shared" si="1"/>
        <v>30</v>
      </c>
      <c r="G11" s="19">
        <f t="shared" si="1"/>
        <v>181</v>
      </c>
    </row>
    <row r="12" spans="1:7" ht="30" x14ac:dyDescent="0.25">
      <c r="A12" s="42" t="s">
        <v>61</v>
      </c>
      <c r="B12" s="43">
        <v>3</v>
      </c>
      <c r="C12" s="43">
        <v>1</v>
      </c>
      <c r="D12" s="43">
        <v>2</v>
      </c>
      <c r="E12" s="43">
        <v>1</v>
      </c>
      <c r="F12" s="43">
        <v>1</v>
      </c>
      <c r="G12" s="44">
        <v>1</v>
      </c>
    </row>
    <row r="13" spans="1:7" ht="15.75" x14ac:dyDescent="0.25">
      <c r="A13" s="42" t="s">
        <v>73</v>
      </c>
      <c r="B13" s="43"/>
      <c r="C13" s="43"/>
      <c r="D13" s="43"/>
      <c r="E13" s="43"/>
      <c r="F13" s="43"/>
      <c r="G13" s="44">
        <v>1</v>
      </c>
    </row>
    <row r="14" spans="1:7" s="41" customFormat="1" ht="120" x14ac:dyDescent="0.25">
      <c r="A14" s="45" t="s">
        <v>66</v>
      </c>
      <c r="B14" s="23">
        <v>9</v>
      </c>
      <c r="C14" s="23">
        <v>1</v>
      </c>
      <c r="D14" s="23">
        <v>2</v>
      </c>
      <c r="E14" s="23">
        <v>9</v>
      </c>
      <c r="F14" s="23">
        <v>6</v>
      </c>
      <c r="G14" s="24">
        <v>15</v>
      </c>
    </row>
    <row r="15" spans="1:7" s="46" customFormat="1" ht="15.75" x14ac:dyDescent="0.25">
      <c r="A15" s="45" t="s">
        <v>67</v>
      </c>
      <c r="B15" s="23">
        <v>9</v>
      </c>
      <c r="C15" s="23">
        <v>2</v>
      </c>
      <c r="D15" s="23">
        <v>3</v>
      </c>
      <c r="E15" s="23">
        <v>4</v>
      </c>
      <c r="F15" s="23">
        <v>4</v>
      </c>
      <c r="G15" s="24">
        <v>2</v>
      </c>
    </row>
    <row r="16" spans="1:7" s="46" customFormat="1" ht="30" x14ac:dyDescent="0.25">
      <c r="A16" s="45" t="s">
        <v>68</v>
      </c>
      <c r="B16" s="23">
        <v>2</v>
      </c>
      <c r="C16" s="23"/>
      <c r="D16" s="23"/>
      <c r="E16" s="23"/>
      <c r="F16" s="23"/>
      <c r="G16" s="24">
        <v>1</v>
      </c>
    </row>
    <row r="17" spans="1:7" ht="15.75" x14ac:dyDescent="0.25">
      <c r="A17" s="20" t="s">
        <v>62</v>
      </c>
      <c r="B17" s="23">
        <v>1</v>
      </c>
      <c r="C17" s="23"/>
      <c r="D17" s="23">
        <v>1</v>
      </c>
      <c r="E17" s="23"/>
      <c r="F17" s="23"/>
      <c r="G17" s="24">
        <v>2</v>
      </c>
    </row>
    <row r="18" spans="1:7" ht="15.75" x14ac:dyDescent="0.25">
      <c r="A18" s="20" t="s">
        <v>69</v>
      </c>
      <c r="B18" s="23">
        <v>2</v>
      </c>
      <c r="C18" s="23"/>
      <c r="D18" s="23"/>
      <c r="E18" s="23"/>
      <c r="F18" s="23"/>
      <c r="G18" s="24"/>
    </row>
    <row r="19" spans="1:7" ht="15.75" x14ac:dyDescent="0.25">
      <c r="A19" s="20" t="s">
        <v>63</v>
      </c>
      <c r="B19" s="23">
        <v>15</v>
      </c>
      <c r="C19" s="23"/>
      <c r="D19" s="23"/>
      <c r="E19" s="23">
        <v>7</v>
      </c>
      <c r="F19" s="23">
        <v>3</v>
      </c>
      <c r="G19" s="24">
        <v>1</v>
      </c>
    </row>
    <row r="20" spans="1:7" ht="30" x14ac:dyDescent="0.25">
      <c r="A20" s="20" t="s">
        <v>70</v>
      </c>
      <c r="B20" s="23">
        <v>1</v>
      </c>
      <c r="C20" s="23"/>
      <c r="D20" s="23"/>
      <c r="E20" s="23"/>
      <c r="F20" s="23"/>
      <c r="G20" s="24"/>
    </row>
    <row r="21" spans="1:7" ht="30" x14ac:dyDescent="0.25">
      <c r="A21" s="47" t="s">
        <v>72</v>
      </c>
      <c r="B21" s="43">
        <v>31</v>
      </c>
      <c r="C21" s="43">
        <v>4</v>
      </c>
      <c r="D21" s="43">
        <v>7</v>
      </c>
      <c r="E21" s="43">
        <v>17</v>
      </c>
      <c r="F21" s="43">
        <v>6</v>
      </c>
      <c r="G21" s="44">
        <v>65</v>
      </c>
    </row>
    <row r="22" spans="1:7" ht="15.75" x14ac:dyDescent="0.25">
      <c r="A22" s="47" t="s">
        <v>74</v>
      </c>
      <c r="B22" s="43"/>
      <c r="C22" s="43"/>
      <c r="D22" s="43"/>
      <c r="E22" s="43"/>
      <c r="F22" s="43"/>
      <c r="G22" s="44">
        <v>1</v>
      </c>
    </row>
    <row r="23" spans="1:7" s="41" customFormat="1" ht="15.75" x14ac:dyDescent="0.25">
      <c r="A23" s="45" t="s">
        <v>64</v>
      </c>
      <c r="B23" s="23">
        <v>6</v>
      </c>
      <c r="C23" s="23"/>
      <c r="D23" s="23">
        <v>4</v>
      </c>
      <c r="E23" s="23">
        <v>7</v>
      </c>
      <c r="F23" s="23">
        <v>4</v>
      </c>
      <c r="G23" s="24">
        <v>27</v>
      </c>
    </row>
    <row r="24" spans="1:7" ht="45" x14ac:dyDescent="0.25">
      <c r="A24" s="20" t="s">
        <v>71</v>
      </c>
      <c r="B24" s="23">
        <v>4</v>
      </c>
      <c r="C24" s="23">
        <v>1</v>
      </c>
      <c r="D24" s="23">
        <v>3</v>
      </c>
      <c r="E24" s="23">
        <v>3</v>
      </c>
      <c r="F24" s="23">
        <v>3</v>
      </c>
      <c r="G24" s="24">
        <v>53</v>
      </c>
    </row>
    <row r="25" spans="1:7" ht="30" x14ac:dyDescent="0.25">
      <c r="A25" s="20" t="s">
        <v>65</v>
      </c>
      <c r="B25" s="23">
        <v>11</v>
      </c>
      <c r="C25" s="23">
        <v>1</v>
      </c>
      <c r="D25" s="23">
        <v>2</v>
      </c>
      <c r="E25" s="23">
        <v>5</v>
      </c>
      <c r="F25" s="23">
        <v>3</v>
      </c>
      <c r="G25" s="24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INSTROOM herkomst</vt:lpstr>
      <vt:lpstr>INSTROOM thematisch</vt:lpstr>
      <vt:lpstr>vooruitgangsstaat</vt:lpstr>
      <vt:lpstr>Afhandeling zonder strafvervolg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Stas, An</dc:creator>
  <cp:lastModifiedBy>Stas An</cp:lastModifiedBy>
  <dcterms:created xsi:type="dcterms:W3CDTF">2022-04-13T10:15:51Z</dcterms:created>
  <dcterms:modified xsi:type="dcterms:W3CDTF">2023-03-09T11:22:33Z</dcterms:modified>
</cp:coreProperties>
</file>